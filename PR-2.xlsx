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fa61b294a249de4/Desktop/Excel/Excel-Project/02 - Analyzer/"/>
    </mc:Choice>
  </mc:AlternateContent>
  <xr:revisionPtr revIDLastSave="11" documentId="8_{267B1C6A-BAE7-4539-A5E4-D8EF7DB05675}" xr6:coauthVersionLast="47" xr6:coauthVersionMax="47" xr10:uidLastSave="{32E1CA5B-C743-407C-B635-AAF3F9F098B8}"/>
  <bookViews>
    <workbookView xWindow="-110" yWindow="-110" windowWidth="19420" windowHeight="11020" tabRatio="828" firstSheet="5" activeTab="8" xr2:uid="{00000000-000D-0000-FFFF-FFFF00000000}"/>
  </bookViews>
  <sheets>
    <sheet name="Task Description" sheetId="1" r:id="rId1"/>
    <sheet name="Dataset" sheetId="2" r:id="rId2"/>
    <sheet name="Task 1 &amp; 7 - Customers" sheetId="3" r:id="rId3"/>
    <sheet name="Task 2 - What-If Analysis" sheetId="4" r:id="rId4"/>
    <sheet name="Task 3 - Regression" sheetId="5" r:id="rId5"/>
    <sheet name="Task 4 - Descriptive Stats" sheetId="6" r:id="rId6"/>
    <sheet name="Task 5 - Monthly Growth" sheetId="7" r:id="rId7"/>
    <sheet name="Task 8 - Region &amp; Product Pivot" sheetId="8" r:id="rId8"/>
    <sheet name="Task 9 &amp; 10 - Dashboard" sheetId="9" r:id="rId9"/>
  </sheets>
  <definedNames>
    <definedName name="_xlnm._FilterDatabase" localSheetId="2" hidden="1">'Task 1 &amp; 7 - Customers'!$J$6:$O$177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11" i="3"/>
  <c r="G12" i="3"/>
  <c r="G13" i="3"/>
  <c r="G14" i="3"/>
  <c r="G15" i="3"/>
  <c r="G16" i="3"/>
  <c r="F8" i="3"/>
  <c r="F9" i="3"/>
  <c r="F10" i="3"/>
  <c r="F11" i="3"/>
  <c r="F12" i="3"/>
  <c r="F13" i="3"/>
  <c r="F14" i="3"/>
  <c r="F15" i="3"/>
  <c r="F16" i="3"/>
  <c r="E8" i="3"/>
  <c r="E9" i="3"/>
  <c r="E10" i="3"/>
  <c r="E11" i="3"/>
  <c r="E12" i="3"/>
  <c r="E13" i="3"/>
  <c r="E14" i="3"/>
  <c r="C14" i="3" s="1"/>
  <c r="E15" i="3"/>
  <c r="D15" i="3" s="1"/>
  <c r="E16" i="3"/>
  <c r="D16" i="3" s="1"/>
  <c r="D8" i="3"/>
  <c r="D9" i="3"/>
  <c r="D10" i="3"/>
  <c r="D11" i="3"/>
  <c r="D12" i="3"/>
  <c r="D13" i="3"/>
  <c r="C8" i="3"/>
  <c r="C9" i="3"/>
  <c r="C10" i="3"/>
  <c r="C11" i="3"/>
  <c r="C12" i="3"/>
  <c r="C13" i="3"/>
  <c r="J6" i="9"/>
  <c r="H6" i="9"/>
  <c r="D6" i="9"/>
  <c r="F6" i="9" s="1"/>
  <c r="B6" i="9"/>
  <c r="E19" i="7"/>
  <c r="D19" i="7"/>
  <c r="C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H16" i="4"/>
  <c r="I16" i="4" s="1"/>
  <c r="G16" i="4"/>
  <c r="H15" i="4"/>
  <c r="G15" i="4"/>
  <c r="I15" i="4" s="1"/>
  <c r="G14" i="4"/>
  <c r="H13" i="4"/>
  <c r="G13" i="4"/>
  <c r="I13" i="4" s="1"/>
  <c r="G12" i="4"/>
  <c r="G11" i="4"/>
  <c r="H10" i="4"/>
  <c r="I10" i="4" s="1"/>
  <c r="G10" i="4"/>
  <c r="C10" i="4"/>
  <c r="H14" i="4" s="1"/>
  <c r="I14" i="4" s="1"/>
  <c r="H9" i="4"/>
  <c r="G9" i="4"/>
  <c r="I9" i="4" s="1"/>
  <c r="C9" i="4"/>
  <c r="C11" i="4" s="1"/>
  <c r="H8" i="4"/>
  <c r="G8" i="4"/>
  <c r="I8" i="4" s="1"/>
  <c r="C8" i="4"/>
  <c r="K7" i="4"/>
  <c r="I7" i="4"/>
  <c r="H7" i="4"/>
  <c r="G7" i="4"/>
  <c r="C7" i="4"/>
  <c r="E7" i="3"/>
  <c r="G7" i="3" s="1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D14" i="3" l="1"/>
  <c r="C16" i="3"/>
  <c r="C15" i="3"/>
  <c r="D7" i="3"/>
  <c r="C7" i="3"/>
  <c r="K14" i="4"/>
  <c r="J14" i="4"/>
  <c r="K15" i="4"/>
  <c r="J15" i="4"/>
  <c r="K9" i="4"/>
  <c r="J9" i="4"/>
  <c r="K13" i="4"/>
  <c r="J13" i="4"/>
  <c r="K10" i="4"/>
  <c r="J10" i="4"/>
  <c r="J7" i="4"/>
  <c r="C12" i="4"/>
  <c r="K8" i="4"/>
  <c r="J8" i="4"/>
  <c r="K16" i="4"/>
  <c r="J16" i="4"/>
  <c r="H12" i="4"/>
  <c r="I12" i="4" s="1"/>
  <c r="F7" i="3"/>
  <c r="H11" i="4"/>
  <c r="I11" i="4" s="1"/>
  <c r="K12" i="4" l="1"/>
  <c r="J12" i="4"/>
  <c r="K11" i="4"/>
  <c r="J11" i="4"/>
</calcChain>
</file>

<file path=xl/sharedStrings.xml><?xml version="1.0" encoding="utf-8"?>
<sst xmlns="http://schemas.openxmlformats.org/spreadsheetml/2006/main" count="1566" uniqueCount="396">
  <si>
    <t>PR. 2 ANALYZER - ADVANCED DATA ANALYSIS &amp; MODELING</t>
  </si>
  <si>
    <t>Executive Workbook covering all 10 Mandatory Project Tasks</t>
  </si>
  <si>
    <t>Task No.</t>
  </si>
  <si>
    <t>Project Task Description</t>
  </si>
  <si>
    <t>Worksheet Name</t>
  </si>
  <si>
    <t>Implementation Highlights</t>
  </si>
  <si>
    <t>Task 1</t>
  </si>
  <si>
    <t>Apply conditional formatting to highlight top 10 customers based on total purchase.</t>
  </si>
  <si>
    <t>Task 1 &amp; 7 - Customers</t>
  </si>
  <si>
    <t>Top 10 customer records highlighted with Soft Green Fill and Bold Green Font</t>
  </si>
  <si>
    <t>Task 2</t>
  </si>
  <si>
    <t>Perform WHAT IF Analysis to see impact of changing discount on total profit.</t>
  </si>
  <si>
    <t>Task 2 - What-If Analysis</t>
  </si>
  <si>
    <t>Sensitivity Data Table analyzing discount rates (0% to 25%) and profit margins</t>
  </si>
  <si>
    <t>Task 3</t>
  </si>
  <si>
    <t>Use Data Analysis Toolpak to run Linear Regression (Profit vs Sales).</t>
  </si>
  <si>
    <t>Task 3 - Regression</t>
  </si>
  <si>
    <t>Complete regression statistics (R Square, ANOVA, Coefficients, P-values)</t>
  </si>
  <si>
    <t>Task 4</t>
  </si>
  <si>
    <t>Use 'Descriptive Statistics' from Analysis Toolpak on the dataset.</t>
  </si>
  <si>
    <t>Task 4 - Descriptive Stats</t>
  </si>
  <si>
    <t>Mean, Standard Error, Median, Mode, Std Dev, Variance, Kurtosis, Skewness, Range</t>
  </si>
  <si>
    <t>Task 5</t>
  </si>
  <si>
    <t>Add up/down arrows on monthly sales growth.</t>
  </si>
  <si>
    <t>Task 5 - Monthly Growth</t>
  </si>
  <si>
    <t>Custom cell formatting with Unicode arrows: [Color10]▲ 0.0%;[Red]▼ 0.0%;▬ 0.0%</t>
  </si>
  <si>
    <t>Task 6</t>
  </si>
  <si>
    <t>Create a timestamp column using NOW().</t>
  </si>
  <si>
    <t>Dataset</t>
  </si>
  <si>
    <t>Column J with dynamic =NOW() formula and date-time format (yyyy-mm-dd hh:mm:ss)</t>
  </si>
  <si>
    <t>Task 7</t>
  </si>
  <si>
    <t>Identify high-value customers using index(), match(), and filters.</t>
  </si>
  <si>
    <t>Formulas: INDEX(), MATCH(), LARGE() / RANK() to identify top-tier customers</t>
  </si>
  <si>
    <t>Task 8</t>
  </si>
  <si>
    <t>Create Pivot Table to analyze total sales by region and product.</t>
  </si>
  <si>
    <t>Task 8 - Region &amp; Product Pivot</t>
  </si>
  <si>
    <t>Matrix of Sales by Region vs Product Category with row &amp; column totals</t>
  </si>
  <si>
    <t>Task 9</t>
  </si>
  <si>
    <t>Create bar, line, and pie charts to visualize KPIs.</t>
  </si>
  <si>
    <t>Task 9 &amp; 10 - Dashboard</t>
  </si>
  <si>
    <t>Bar chart (Regional Sales), Line chart (Monthly Trend), Pie chart (Category Share)</t>
  </si>
  <si>
    <t>Task 10</t>
  </si>
  <si>
    <t>Summarize insights using a dashboard.</t>
  </si>
  <si>
    <t>Executive KPI summary cards, interactive charts, and business recommendations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</si>
  <si>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</si>
  <si>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</si>
  <si>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</si>
  <si>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</si>
  <si>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</si>
  <si>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</si>
  <si>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</si>
  <si>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</si>
  <si>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</si>
  <si>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Timestamp (Task 6)</t>
  </si>
  <si>
    <t>CUST019</t>
  </si>
  <si>
    <t>James Davis</t>
  </si>
  <si>
    <t>West</t>
  </si>
  <si>
    <t>Books</t>
  </si>
  <si>
    <t>2024-04-10</t>
  </si>
  <si>
    <t>CUST012</t>
  </si>
  <si>
    <t>Robert Anderson</t>
  </si>
  <si>
    <t>Clothing</t>
  </si>
  <si>
    <t>2024-04-11</t>
  </si>
  <si>
    <t>CUST017</t>
  </si>
  <si>
    <t>James Taylor</t>
  </si>
  <si>
    <t>East</t>
  </si>
  <si>
    <t>2024-04-14</t>
  </si>
  <si>
    <t>CUST005</t>
  </si>
  <si>
    <t>South</t>
  </si>
  <si>
    <t>Electronics</t>
  </si>
  <si>
    <t>CUST030</t>
  </si>
  <si>
    <t>James Wilson</t>
  </si>
  <si>
    <t>North</t>
  </si>
  <si>
    <t>2024-04-15</t>
  </si>
  <si>
    <t>CUST007</t>
  </si>
  <si>
    <t>Michael Anderson</t>
  </si>
  <si>
    <t>Furniture</t>
  </si>
  <si>
    <t>2024-04-16</t>
  </si>
  <si>
    <t>CUST001</t>
  </si>
  <si>
    <t>Linda Wilson</t>
  </si>
  <si>
    <t>CUST026</t>
  </si>
  <si>
    <t>Mary Davis</t>
  </si>
  <si>
    <t>2024-04-19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</si>
  <si>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</si>
  <si>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</si>
  <si>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</si>
  <si>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</si>
  <si>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</si>
  <si>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</si>
  <si>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</si>
  <si>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</si>
  <si>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2024-04-20</t>
  </si>
  <si>
    <t>2024-04-22</t>
  </si>
  <si>
    <t>2024-04-24</t>
  </si>
  <si>
    <t>CUST023</t>
  </si>
  <si>
    <t>CUST029</t>
  </si>
  <si>
    <t>David Smith</t>
  </si>
  <si>
    <t>2024-04-27</t>
  </si>
  <si>
    <t>Sarah Anderson</t>
  </si>
  <si>
    <t>2024-04-28</t>
  </si>
  <si>
    <t>CUST008</t>
  </si>
  <si>
    <t>2024-04-29</t>
  </si>
  <si>
    <t>Lisa Thomas</t>
  </si>
  <si>
    <t>CUST006</t>
  </si>
  <si>
    <t>Mary Jackson</t>
  </si>
  <si>
    <t>2024-04-30</t>
  </si>
  <si>
    <t>2024-05-02</t>
  </si>
  <si>
    <t>Lisa Davis</t>
  </si>
  <si>
    <t>2024-05-03</t>
  </si>
  <si>
    <t>CUST022</t>
  </si>
  <si>
    <t>2024-05-04</t>
  </si>
  <si>
    <t>2024-05-06</t>
  </si>
  <si>
    <t>Linda Brown</t>
  </si>
  <si>
    <t>John Brown</t>
  </si>
  <si>
    <t>2024-05-08</t>
  </si>
  <si>
    <t>2024-05-10</t>
  </si>
  <si>
    <t>CUST028</t>
  </si>
  <si>
    <t>Linda Taylor</t>
  </si>
  <si>
    <t>2024-05-14</t>
  </si>
  <si>
    <t>CUST025</t>
  </si>
  <si>
    <t>David Brown</t>
  </si>
  <si>
    <t>2024-05-15</t>
  </si>
  <si>
    <t>David Davis</t>
  </si>
  <si>
    <t>2024-05-16</t>
  </si>
  <si>
    <t>CUST021</t>
  </si>
  <si>
    <t>2024-05-17</t>
  </si>
  <si>
    <t>CUST015</t>
  </si>
  <si>
    <t>2024-05-22</t>
  </si>
  <si>
    <t>Mary Wilson</t>
  </si>
  <si>
    <t>CUST016</t>
  </si>
  <si>
    <t>Emma Wilson</t>
  </si>
  <si>
    <t>2024-05-23</t>
  </si>
  <si>
    <t>2024-06-02</t>
  </si>
  <si>
    <t>2024-06-04</t>
  </si>
  <si>
    <t>2024-06-05</t>
  </si>
  <si>
    <t>Linda Davis</t>
  </si>
  <si>
    <t>2024-06-06</t>
  </si>
  <si>
    <t>CUST011</t>
  </si>
  <si>
    <t>2024-06-07</t>
  </si>
  <si>
    <t>2024-06-08</t>
  </si>
  <si>
    <t>2024-06-14</t>
  </si>
  <si>
    <t>2024-06-18</t>
  </si>
  <si>
    <t>2024-06-20</t>
  </si>
  <si>
    <t>Sarah Davis</t>
  </si>
  <si>
    <t>2024-06-21</t>
  </si>
  <si>
    <t>CUST002</t>
  </si>
  <si>
    <t>2024-06-23</t>
  </si>
  <si>
    <t>2024-06-25</t>
  </si>
  <si>
    <t>Emma Taylor</t>
  </si>
  <si>
    <t>2024-06-27</t>
  </si>
  <si>
    <t>2024-06-28</t>
  </si>
  <si>
    <t>CUST003</t>
  </si>
  <si>
    <t>2024-06-30</t>
  </si>
  <si>
    <t>2024-07-05</t>
  </si>
  <si>
    <t>2024-07-06</t>
  </si>
  <si>
    <t>2024-07-08</t>
  </si>
  <si>
    <t>2024-07-09</t>
  </si>
  <si>
    <t>2024-07-14</t>
  </si>
  <si>
    <t>2024-07-15</t>
  </si>
  <si>
    <t>CUST020</t>
  </si>
  <si>
    <t>2024-07-21</t>
  </si>
  <si>
    <t>2024-07-29</t>
  </si>
  <si>
    <t>2024-07-30</t>
  </si>
  <si>
    <t>Linda Moore</t>
  </si>
  <si>
    <t>2024-07-31</t>
  </si>
  <si>
    <t>CUST024</t>
  </si>
  <si>
    <t>2024-08-05</t>
  </si>
  <si>
    <t>David Anderson</t>
  </si>
  <si>
    <t>2024-08-08</t>
  </si>
  <si>
    <t>2024-08-09</t>
  </si>
  <si>
    <t>2024-08-15</t>
  </si>
  <si>
    <t>CUST004</t>
  </si>
  <si>
    <t>2024-08-18</t>
  </si>
  <si>
    <t>2024-08-19</t>
  </si>
  <si>
    <t>2024-08-22</t>
  </si>
  <si>
    <t>2024-08-30</t>
  </si>
  <si>
    <t>2024-09-01</t>
  </si>
  <si>
    <t>2024-09-09</t>
  </si>
  <si>
    <t>2024-09-11</t>
  </si>
  <si>
    <t>2024-09-12</t>
  </si>
  <si>
    <t>2024-09-14</t>
  </si>
  <si>
    <t>2024-09-16</t>
  </si>
  <si>
    <t>CUST013</t>
  </si>
  <si>
    <t>2024-09-17</t>
  </si>
  <si>
    <t>CUST027</t>
  </si>
  <si>
    <t>2024-09-18</t>
  </si>
  <si>
    <t>CUST018</t>
  </si>
  <si>
    <t>2024-09-22</t>
  </si>
  <si>
    <t>2024-09-23</t>
  </si>
  <si>
    <t>2024-09-24</t>
  </si>
  <si>
    <t>2024-09-29</t>
  </si>
  <si>
    <t>2024-09-30</t>
  </si>
  <si>
    <t>2024-10-02</t>
  </si>
  <si>
    <t>2024-10-05</t>
  </si>
  <si>
    <t>2024-10-10</t>
  </si>
  <si>
    <t>2024-10-12</t>
  </si>
  <si>
    <t>2024-10-15</t>
  </si>
  <si>
    <t>2024-10-16</t>
  </si>
  <si>
    <t>2024-10-17</t>
  </si>
  <si>
    <t>2024-10-19</t>
  </si>
  <si>
    <t>2024-10-20</t>
  </si>
  <si>
    <t>2024-10-28</t>
  </si>
  <si>
    <t>2024-10-30</t>
  </si>
  <si>
    <t>2024-11-01</t>
  </si>
  <si>
    <t>2024-11-03</t>
  </si>
  <si>
    <t>2024-11-09</t>
  </si>
  <si>
    <t>2024-11-12</t>
  </si>
  <si>
    <t>2024-11-15</t>
  </si>
  <si>
    <t>2024-11-16</t>
  </si>
  <si>
    <t>2024-11-17</t>
  </si>
  <si>
    <t>2024-11-19</t>
  </si>
  <si>
    <t>2024-11-20</t>
  </si>
  <si>
    <t>2024-11-26</t>
  </si>
  <si>
    <t>2024-11-28</t>
  </si>
  <si>
    <t>2024-11-29</t>
  </si>
  <si>
    <t>2024-11-30</t>
  </si>
  <si>
    <t>2024-12-04</t>
  </si>
  <si>
    <t>2024-12-05</t>
  </si>
  <si>
    <t>2024-12-12</t>
  </si>
  <si>
    <t>2024-12-14</t>
  </si>
  <si>
    <t>2024-12-20</t>
  </si>
  <si>
    <t>2024-12-21</t>
  </si>
  <si>
    <t>2024-12-24</t>
  </si>
  <si>
    <t>2024-12-25</t>
  </si>
  <si>
    <t>2024-12-30</t>
  </si>
  <si>
    <t>2025-01-01</t>
  </si>
  <si>
    <t>2025-01-02</t>
  </si>
  <si>
    <t>2025-01-03</t>
  </si>
  <si>
    <t>2025-01-06</t>
  </si>
  <si>
    <t>2025-01-10</t>
  </si>
  <si>
    <t>2025-01-12</t>
  </si>
  <si>
    <t>2025-01-13</t>
  </si>
  <si>
    <t>2025-01-16</t>
  </si>
  <si>
    <t>2025-01-17</t>
  </si>
  <si>
    <t>2025-01-20</t>
  </si>
  <si>
    <t>2025-01-21</t>
  </si>
  <si>
    <t>2025-01-27</t>
  </si>
  <si>
    <t>2025-02-02</t>
  </si>
  <si>
    <t>2025-02-04</t>
  </si>
  <si>
    <t>2025-02-05</t>
  </si>
  <si>
    <t>2025-02-07</t>
  </si>
  <si>
    <t>2025-02-10</t>
  </si>
  <si>
    <t>2025-02-15</t>
  </si>
  <si>
    <t>2025-02-17</t>
  </si>
  <si>
    <t>2025-02-19</t>
  </si>
  <si>
    <t>2025-02-20</t>
  </si>
  <si>
    <t>2025-02-21</t>
  </si>
  <si>
    <t>2025-02-24</t>
  </si>
  <si>
    <t>2025-02-25</t>
  </si>
  <si>
    <t>2025-02-27</t>
  </si>
  <si>
    <t>2025-03-01</t>
  </si>
  <si>
    <t>2025-03-02</t>
  </si>
  <si>
    <t>2025-03-05</t>
  </si>
  <si>
    <t>2025-03-08</t>
  </si>
  <si>
    <t>2025-03-09</t>
  </si>
  <si>
    <t>2025-03-10</t>
  </si>
  <si>
    <t>2025-03-11</t>
  </si>
  <si>
    <t>2025-03-17</t>
  </si>
  <si>
    <t>2025-03-18</t>
  </si>
  <si>
    <t>2025-03-20</t>
  </si>
  <si>
    <t>2025-03-22</t>
  </si>
  <si>
    <t>2025-03-25</t>
  </si>
  <si>
    <t>2025-03-26</t>
  </si>
  <si>
    <t>2025-03-27</t>
  </si>
  <si>
    <t>2025-03-29</t>
  </si>
  <si>
    <t>2025-03-30</t>
  </si>
  <si>
    <t>2025-04-02</t>
  </si>
  <si>
    <t>2025-04-05</t>
  </si>
  <si>
    <t>2025-04-07</t>
  </si>
  <si>
    <t>TASK 1 &amp; TASK 7: HIGH-VALUE CUSTOMERS &amp; CONDITIONAL FORMATTING</t>
  </si>
  <si>
    <t>Task 1: Top 10 Customers highlighted via Conditional Formatting | Task 7: Identification using INDEX(), MATCH(), and Ranking</t>
  </si>
  <si>
    <t>TOP 10 HIGH-VALUE CUSTOMERS (Solved using LARGE, INDEX &amp; MATCH formulas)</t>
  </si>
  <si>
    <t>FULL CUSTOMER SUMMARY (Data Source for Index/Match)</t>
  </si>
  <si>
    <t>Rank</t>
  </si>
  <si>
    <t>Customer ID</t>
  </si>
  <si>
    <t>Customer Name</t>
  </si>
  <si>
    <t>Total Purchase (Sales)</t>
  </si>
  <si>
    <t>Total Profit</t>
  </si>
  <si>
    <t>Orders</t>
  </si>
  <si>
    <t>High-Value Status</t>
  </si>
  <si>
    <t>Total_Sales</t>
  </si>
  <si>
    <t>Total_Profit</t>
  </si>
  <si>
    <t>★ Platinum VIP</t>
  </si>
  <si>
    <t>★ High-Value Tier 1</t>
  </si>
  <si>
    <t>TASK 2: WHAT-IF ANALYSIS (DISCOUNT SENSITIVITY MODEL)</t>
  </si>
  <si>
    <t>Evaluate the impact of changing discount rates on total projected sales, costs, and net profit</t>
  </si>
  <si>
    <t>BASELINE PARAMETERS (CURRENT REALIZED PERFORMANCE)</t>
  </si>
  <si>
    <t>WHAT-IF SIMULATION TABLE (IMPACT OF VARYING DISCOUNT)</t>
  </si>
  <si>
    <t>Discount Scenario</t>
  </si>
  <si>
    <t>Discount Rate</t>
  </si>
  <si>
    <t>Projected Sales</t>
  </si>
  <si>
    <t>Estimated Costs</t>
  </si>
  <si>
    <t>Projected Profit</t>
  </si>
  <si>
    <t>Profit Change vs Base</t>
  </si>
  <si>
    <t>Profit Margin</t>
  </si>
  <si>
    <t>Gross Undiscounted Sales Value</t>
  </si>
  <si>
    <t>No Discount</t>
  </si>
  <si>
    <t>Current Average Discount Rate</t>
  </si>
  <si>
    <t>Very Low Discount</t>
  </si>
  <si>
    <t>Total Net Sales</t>
  </si>
  <si>
    <t>Low Discount</t>
  </si>
  <si>
    <t>Total Cost of Goods &amp; Operating</t>
  </si>
  <si>
    <t>Moderate Discount</t>
  </si>
  <si>
    <t>Current Realized Profit</t>
  </si>
  <si>
    <t>Current Base Average</t>
  </si>
  <si>
    <t>Current Profit Margin</t>
  </si>
  <si>
    <t>High Discount</t>
  </si>
  <si>
    <t>Promotional Discount</t>
  </si>
  <si>
    <t>Deep Discount</t>
  </si>
  <si>
    <t>Aggressive Clearance</t>
  </si>
  <si>
    <t>Maximum Clearance</t>
  </si>
  <si>
    <t>TASK 3: LINEAR REGRESSION (DATA ANALYSIS TOOLPAK)</t>
  </si>
  <si>
    <t>Dependent Variable (Y): Profit | Independent Variable (X): Sales</t>
  </si>
  <si>
    <t>SUMMARY OUTPUT</t>
  </si>
  <si>
    <t>Regression Statistics</t>
  </si>
  <si>
    <t>Value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</si>
  <si>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</si>
  <si>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</si>
  <si>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</si>
  <si>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</si>
  <si>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</si>
  <si>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</si>
  <si>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</si>
  <si>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</si>
  <si>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</si>
  <si>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</si>
  <si>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</si>
  <si>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</si>
  <si>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</si>
  <si>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</si>
  <si>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 &amp; INFERENCE</t>
  </si>
  <si>
    <t>Coefficients</t>
  </si>
  <si>
    <t>t Stat</t>
  </si>
  <si>
    <t>P-value</t>
  </si>
  <si>
    <t>Lower 95%</t>
  </si>
  <si>
    <t>Upper 95%</t>
  </si>
  <si>
    <t>Intercept</t>
  </si>
  <si>
    <t>Sales (Slope)</t>
  </si>
  <si>
    <t>REGRESSION MODEL EQUATION:</t>
  </si>
  <si>
    <t>Profit = 0.3509 * (Sales) - 1.0316   |   R² = 59.8% (Every $100 increase in Sales yields ~$35.09 in Profit)</t>
  </si>
  <si>
    <t>TASK 4: DESCRIPTIVE STATISTICS (DATA ANALYSIS TOOLPAK)</t>
  </si>
  <si>
    <t>Complete parametric and non-parametric statistical metrics for key business indicators</t>
  </si>
  <si>
    <t>Metric</t>
  </si>
  <si>
    <t>Sales ($)</t>
  </si>
  <si>
    <t>Profit ($)</t>
  </si>
  <si>
    <t>Discount (%)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</si>
  <si>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</si>
  <si>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</si>
  <si>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</si>
  <si>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</si>
  <si>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</si>
  <si>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</si>
  <si>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</si>
  <si>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</si>
  <si>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</si>
  <si>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</si>
  <si>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</si>
  <si>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</si>
  <si>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TASK 5: MONTHLY SALES GROWTH WITH CUSTOM ARROW FORMATTING</t>
  </si>
  <si>
    <t>Custom format applied: [Color10]▲ 0.0%;[Red]▼ 0.0%;▬ 0.0% to reflect Month-over-Month trajectory</t>
  </si>
  <si>
    <t>Month-Year</t>
  </si>
  <si>
    <t>Total Sales</t>
  </si>
  <si>
    <t>Order Volume</t>
  </si>
  <si>
    <t>Sales MoM Growth (Task 5)</t>
  </si>
  <si>
    <t>Profit MoM Growth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</si>
  <si>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</si>
  <si>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</si>
  <si>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</si>
  <si>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</si>
  <si>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</si>
  <si>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</si>
  <si>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</si>
  <si>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</si>
  <si>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</si>
  <si>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</si>
  <si>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</si>
  <si>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</si>
  <si>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</si>
  <si>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Total / Overall</t>
  </si>
  <si>
    <t>-</t>
  </si>
  <si>
    <t>TASK 8: PIVOT TABLE - SALES BY REGION &amp; PRODUCT CATEGORY</t>
  </si>
  <si>
    <t>Cross-tabulation matrix analyzing regional sales distribution across product lines</t>
  </si>
  <si>
    <t>Grand Total</t>
  </si>
  <si>
    <t>EXECUTIVE BUSINESS INTELLIGENCE DASHBOARD</t>
  </si>
  <si>
    <t>Task 9: Bar, Line &amp; Pie Visualizations | Task 10: Executive Insights &amp; Performance Summary</t>
  </si>
  <si>
    <t>TOTAL SALES</t>
  </si>
  <si>
    <t>TOTAL PROFIT</t>
  </si>
  <si>
    <t>OVERALL MARGIN</t>
  </si>
  <si>
    <t>TOTAL ORDERS</t>
  </si>
  <si>
    <t>AVG DISCOUNT</t>
  </si>
  <si>
    <t>Category</t>
  </si>
  <si>
    <t>TASK 10: EXECUTIVE INSIGHTS &amp; STORYTELLING SUMMARY</t>
  </si>
  <si>
    <t>1. Revenue &amp; Profitability Driver:
   • Total Revenue achieved: $195,217.76 generating $68,287.01 in Net Profit (Healthy ~35.0% Overall Profit Margin).
   • Linear Regression confirms strong correlation (R² = 59.8%, p &lt; 0.001) where every $100 increase in sales yields ~$35.09 in profit.
2. Regional &amp; Product Dynamics:
   • Central and West regions lead total volume, while South demonstrates superior margin efficiency in Electronics.
   • Books and Clothing represent high-velocity categories, whereas Furniture delivers higher basket sizes.
3. Customer Concentration &amp; High-Value Impact:
   • The Top 10 High-Value Customers contribute a disproportionate share of total revenue (~$27,994 or ~14.3% across 200 orders).
   • VIP accounts such as James Wilson ($4,831.49) and Mary Davis ($2,653.20) should be prioritized for personalized loyalty incentives.
4. What-If Discount Sensitivity &amp; Strategy:
   • Baseline average discount is 9.7%. Decreasing discount to 5.0% lifts net profit by +$10,240 without affecting operational overhead.
   • Conversely, discounting beyond 15% erodes profit margins rapidly (dropping below 28%).</t>
  </si>
  <si>
    <t>Row Labels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</si>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</sst>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0.0%"/>
    <numFmt numFmtId="166" formatCode="yyyy\-mm\-dd\ hh:mm:ss"/>
    <numFmt numFmtId="167" formatCode="\+\$#,##0.00;\-\$#,##0.00;\$0.00"/>
    <numFmt numFmtId="168" formatCode="0.000000"/>
    <numFmt numFmtId="169" formatCode="0.0000"/>
    <numFmt numFmtId="170" formatCode="[Color10]\▲\ 0.0%;[Red]\▼\ 0.0%;&quot;▬ &quot;0.0%"/>
    <numFmt numFmtId="171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5"/>
      <color rgb="FF1B365D"/>
      <name val="Segoe UI"/>
      <family val="2"/>
    </font>
    <font>
      <i/>
      <sz val="11"/>
      <color rgb="FF555555"/>
      <name val="Segoe UI"/>
      <family val="2"/>
    </font>
    <font>
      <b/>
      <sz val="10"/>
      <color rgb="FFFFFFFF"/>
      <name val="Segoe UI"/>
      <family val="2"/>
    </font>
    <font>
      <sz val="10"/>
      <color rgb="FF333333"/>
      <name val="Segoe UI"/>
      <family val="2"/>
    </font>
    <font>
      <b/>
      <sz val="10"/>
      <color rgb="FF333333"/>
      <name val="Segoe UI"/>
      <family val="2"/>
    </font>
    <font>
      <i/>
      <sz val="10"/>
      <color rgb="FF555555"/>
      <name val="Segoe UI"/>
      <family val="2"/>
    </font>
    <font>
      <b/>
      <sz val="11"/>
      <color rgb="FF1B365D"/>
      <name val="Segoe UI"/>
      <family val="2"/>
    </font>
    <font>
      <b/>
      <sz val="10"/>
      <color rgb="FF155724"/>
      <name val="Segoe UI"/>
      <family val="2"/>
    </font>
    <font>
      <b/>
      <sz val="9"/>
      <color rgb="FF666666"/>
      <name val="Segoe UI"/>
      <family val="2"/>
    </font>
    <font>
      <b/>
      <sz val="18"/>
      <color rgb="FF1B365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A"/>
        <bgColor rgb="FFF8F9FA"/>
      </patternFill>
    </fill>
    <fill>
      <patternFill patternType="solid">
        <fgColor rgb="FF2B4C7E"/>
        <bgColor rgb="FF2B4C7E"/>
      </patternFill>
    </fill>
    <fill>
      <patternFill patternType="solid">
        <fgColor rgb="FFD4EDDA"/>
        <bgColor rgb="FFD4EDDA"/>
      </patternFill>
    </fill>
    <fill>
      <patternFill patternType="solid">
        <fgColor rgb="FFEBF1F5"/>
        <bgColor rgb="FFEBF1F5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double">
        <color rgb="FF1B365D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6" fontId="4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3" fillId="4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164" fontId="8" fillId="5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3" borderId="1" xfId="0" applyFont="1" applyFill="1" applyBorder="1"/>
    <xf numFmtId="164" fontId="5" fillId="0" borderId="1" xfId="0" applyNumberFormat="1" applyFont="1" applyBorder="1" applyAlignment="1">
      <alignment horizontal="right"/>
    </xf>
    <xf numFmtId="165" fontId="5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167" fontId="5" fillId="3" borderId="1" xfId="0" applyNumberFormat="1" applyFont="1" applyFill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4" fillId="6" borderId="1" xfId="0" applyFont="1" applyFill="1" applyBorder="1" applyAlignment="1">
      <alignment horizontal="left"/>
    </xf>
    <xf numFmtId="165" fontId="5" fillId="6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167" fontId="5" fillId="6" borderId="1" xfId="0" applyNumberFormat="1" applyFont="1" applyFill="1" applyBorder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0" borderId="1" xfId="0" applyFont="1" applyBorder="1"/>
    <xf numFmtId="168" fontId="5" fillId="0" borderId="1" xfId="0" applyNumberFormat="1" applyFont="1" applyBorder="1" applyAlignment="1">
      <alignment horizontal="right"/>
    </xf>
    <xf numFmtId="169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0" borderId="1" xfId="0" applyFont="1" applyBorder="1"/>
    <xf numFmtId="4" fontId="4" fillId="0" borderId="1" xfId="0" applyNumberFormat="1" applyFont="1" applyBorder="1" applyAlignment="1">
      <alignment horizontal="right"/>
    </xf>
    <xf numFmtId="11" fontId="4" fillId="0" borderId="1" xfId="0" applyNumberFormat="1" applyFont="1" applyBorder="1" applyAlignment="1">
      <alignment horizontal="right"/>
    </xf>
    <xf numFmtId="169" fontId="4" fillId="0" borderId="1" xfId="0" applyNumberFormat="1" applyFont="1" applyBorder="1" applyAlignment="1">
      <alignment horizontal="right"/>
    </xf>
    <xf numFmtId="0" fontId="5" fillId="6" borderId="0" xfId="0" applyFont="1" applyFill="1"/>
    <xf numFmtId="0" fontId="3" fillId="2" borderId="0" xfId="0" applyFont="1" applyFill="1" applyAlignment="1">
      <alignment horizontal="left" vertical="center"/>
    </xf>
    <xf numFmtId="10" fontId="4" fillId="0" borderId="1" xfId="0" applyNumberFormat="1" applyFont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10" fontId="4" fillId="3" borderId="1" xfId="0" applyNumberFormat="1" applyFont="1" applyFill="1" applyBorder="1" applyAlignment="1">
      <alignment horizontal="right"/>
    </xf>
    <xf numFmtId="169" fontId="4" fillId="3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170" fontId="5" fillId="0" borderId="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170" fontId="5" fillId="3" borderId="1" xfId="0" applyNumberFormat="1" applyFont="1" applyFill="1" applyBorder="1" applyAlignment="1">
      <alignment horizontal="right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center"/>
    </xf>
    <xf numFmtId="0" fontId="3" fillId="4" borderId="0" xfId="0" applyFont="1" applyFill="1"/>
    <xf numFmtId="164" fontId="4" fillId="0" borderId="1" xfId="0" applyNumberFormat="1" applyFont="1" applyBorder="1"/>
    <xf numFmtId="171" fontId="3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3" fontId="10" fillId="6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sz val="10"/>
        <color rgb="FF155724"/>
        <name val="Segoe UI"/>
      </font>
      <fill>
        <patternFill patternType="solid">
          <fgColor rgb="FFD4EDDA"/>
          <bgColor rgb="FFD4EDDA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&quot;$&quot;#,##0.00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  <dxf>
      <font>
        <b/>
        <sz val="10"/>
        <color rgb="FFFFFFFF"/>
        <name val="Segoe UI"/>
        <scheme val="none"/>
      </font>
      <fill>
        <patternFill patternType="solid">
          <fgColor rgb="FF1B365D"/>
          <bgColor rgb="FF1B365D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Sales by Region (Task 9 - Bar Chart)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9 &amp; 10 - Dashboard'!$R$5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'Task 9 &amp; 10 - Dashboard'!$Q$6:$Q$10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'Task 9 &amp; 10 - Dashboard'!$R$6:$R$10</c:f>
              <c:numCache>
                <c:formatCode>\$#,##0.00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4-4E6C-BACF-D07A40537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by Product Category (Task 9 - Pie Chart)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'Task 9 &amp; 10 - Dashboard'!$V$5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'Task 9 &amp; 10 - Dashboard'!$U$6:$U$10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'Task 9 &amp; 10 - Dashboard'!$V$6:$V$10</c:f>
              <c:numCache>
                <c:formatCode>\$#,##0.00</c:formatCode>
                <c:ptCount val="5"/>
                <c:pt idx="0">
                  <c:v>47002.46</c:v>
                </c:pt>
                <c:pt idx="1">
                  <c:v>41927.589999999997</c:v>
                </c:pt>
                <c:pt idx="2">
                  <c:v>41044</c:v>
                </c:pt>
                <c:pt idx="3">
                  <c:v>36612.89</c:v>
                </c:pt>
                <c:pt idx="4">
                  <c:v>28630.82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A-4815-A20D-F3B3473C1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Trend (Task 9 - Line Chart)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5 - Monthly Growth'!$C$5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'Task 5 - Monthly Growth'!$B$6:$B$18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'Task 5 - Monthly Growth'!$C$6:$C$18</c:f>
              <c:numCache>
                <c:formatCode>\$#,##0.00</c:formatCode>
                <c:ptCount val="13"/>
                <c:pt idx="0">
                  <c:v>19029.96</c:v>
                </c:pt>
                <c:pt idx="1">
                  <c:v>18507.34</c:v>
                </c:pt>
                <c:pt idx="2">
                  <c:v>20187.509999999998</c:v>
                </c:pt>
                <c:pt idx="3">
                  <c:v>11609.04</c:v>
                </c:pt>
                <c:pt idx="4">
                  <c:v>10091.700000000001</c:v>
                </c:pt>
                <c:pt idx="5">
                  <c:v>20533.5</c:v>
                </c:pt>
                <c:pt idx="6">
                  <c:v>14215.24</c:v>
                </c:pt>
                <c:pt idx="7">
                  <c:v>20135.03</c:v>
                </c:pt>
                <c:pt idx="8">
                  <c:v>11120.04</c:v>
                </c:pt>
                <c:pt idx="9">
                  <c:v>14914.65</c:v>
                </c:pt>
                <c:pt idx="10">
                  <c:v>14006.36</c:v>
                </c:pt>
                <c:pt idx="11">
                  <c:v>17655.22</c:v>
                </c:pt>
                <c:pt idx="12">
                  <c:v>3212.17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2-458D-8E81-4E1856832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($)</a:t>
                </a:r>
              </a:p>
            </c:rich>
          </c:tx>
          <c:overlay val="0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774700</xdr:colOff>
      <xdr:row>7</xdr:row>
      <xdr:rowOff>196850</xdr:rowOff>
    </xdr:from>
    <xdr:ext cx="54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6350</xdr:colOff>
      <xdr:row>13</xdr:row>
      <xdr:rowOff>3367700</xdr:rowOff>
    </xdr:from>
    <xdr:ext cx="90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23.449286111114" createdVersion="8" refreshedVersion="8" minRefreshableVersion="3" recordCount="200" xr:uid="{D80525CE-6EF1-43AB-95D1-622C86744A71}">
  <cacheSource type="worksheet">
    <worksheetSource ref="A1:J201" sheet="Dataset"/>
  </cacheSource>
  <cacheFields count="10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164">
      <sharedItems containsSemiMixedTypes="0" containsString="0" containsNumber="1" minValue="258.51" maxValue="1923.66"/>
    </cacheField>
    <cacheField name="Quantity" numFmtId="3">
      <sharedItems containsSemiMixedTypes="0" containsString="0" containsNumber="1" containsInteger="1" minValue="1" maxValue="19"/>
    </cacheField>
    <cacheField name="Discount" numFmtId="165">
      <sharedItems containsSemiMixedTypes="0" containsString="0" containsNumber="1" minValue="0" maxValue="0.2"/>
    </cacheField>
    <cacheField name="Order_Date" numFmtId="0">
      <sharedItems/>
    </cacheField>
    <cacheField name="Profit" numFmtId="164">
      <sharedItems containsSemiMixedTypes="0" containsString="0" containsNumber="1" minValue="64.63" maxValue="769.46"/>
    </cacheField>
    <cacheField name="Timestamp (Task 6)" numFmtId="166">
      <sharedItems containsSemiMixedTypes="0" containsNonDate="0" containsDate="1" containsString="0" minDate="2026-10-28T10:45:37" maxDate="2026-10-28T10:45: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s v="2024-04-10"/>
    <n v="331.55"/>
    <d v="2026-10-28T10:45:37"/>
  </r>
  <r>
    <s v="CUST012"/>
    <s v="Robert Anderson"/>
    <x v="0"/>
    <x v="1"/>
    <n v="1101.28"/>
    <n v="3"/>
    <n v="0.2"/>
    <s v="2024-04-11"/>
    <n v="440.51"/>
    <d v="2026-10-28T10:45:37"/>
  </r>
  <r>
    <s v="CUST017"/>
    <s v="James Taylor"/>
    <x v="1"/>
    <x v="0"/>
    <n v="713.34"/>
    <n v="17"/>
    <n v="0"/>
    <s v="2024-04-14"/>
    <n v="285.33999999999997"/>
    <d v="2026-10-28T10:45:37"/>
  </r>
  <r>
    <s v="CUST005"/>
    <s v="Robert Anderson"/>
    <x v="2"/>
    <x v="2"/>
    <n v="760.93"/>
    <n v="4"/>
    <n v="0.15"/>
    <s v="2024-04-14"/>
    <n v="161.69999999999999"/>
    <d v="2026-10-28T10:45:37"/>
  </r>
  <r>
    <s v="CUST030"/>
    <s v="James Wilson"/>
    <x v="3"/>
    <x v="0"/>
    <n v="847"/>
    <n v="12"/>
    <n v="0.2"/>
    <s v="2024-04-15"/>
    <n v="271.04000000000002"/>
    <d v="2026-10-28T10:45:37"/>
  </r>
  <r>
    <s v="CUST007"/>
    <s v="Michael Anderson"/>
    <x v="3"/>
    <x v="3"/>
    <n v="965.64"/>
    <n v="8"/>
    <n v="0.1"/>
    <s v="2024-04-16"/>
    <n v="304.18"/>
    <d v="2026-10-28T10:45:37"/>
  </r>
  <r>
    <s v="CUST001"/>
    <s v="Linda Wilson"/>
    <x v="0"/>
    <x v="2"/>
    <n v="1317.53"/>
    <n v="12"/>
    <n v="0.05"/>
    <s v="2024-04-16"/>
    <n v="312.91000000000003"/>
    <d v="2026-10-28T10:45:37"/>
  </r>
  <r>
    <s v="CUST026"/>
    <s v="Mary Davis"/>
    <x v="1"/>
    <x v="3"/>
    <n v="1074.47"/>
    <n v="6"/>
    <n v="0.2"/>
    <s v="2024-04-19"/>
    <n v="300.85000000000002"/>
    <d v="2026-10-28T10:45:37"/>
  </r>
  <r>
    <s v="CUST009"/>
    <s v="Linda Jackson"/>
    <x v="4"/>
    <x v="0"/>
    <n v="501.54"/>
    <n v="11"/>
    <n v="0.05"/>
    <s v="2024-04-19"/>
    <n v="190.59"/>
    <d v="2026-10-28T10:45:37"/>
  </r>
  <r>
    <s v="CUST010"/>
    <s v="David Thomas"/>
    <x v="4"/>
    <x v="1"/>
    <n v="737.31"/>
    <n v="2"/>
    <n v="0.05"/>
    <s v="2024-04-19"/>
    <n v="350.22"/>
    <d v="2026-10-28T10:45:37"/>
  </r>
  <r>
    <s v="CUST014"/>
    <s v="Emma Davis"/>
    <x v="0"/>
    <x v="4"/>
    <n v="1572.82"/>
    <n v="6"/>
    <n v="0.05"/>
    <s v="2024-04-20"/>
    <n v="672.38"/>
    <d v="2026-10-28T10:45:37"/>
  </r>
  <r>
    <s v="CUST014"/>
    <s v="David Thomas"/>
    <x v="4"/>
    <x v="0"/>
    <n v="1343.13"/>
    <n v="14"/>
    <n v="0.15"/>
    <s v="2024-04-22"/>
    <n v="456.66"/>
    <d v="2026-10-28T10:45:37"/>
  </r>
  <r>
    <s v="CUST007"/>
    <s v="Michael Anderson"/>
    <x v="4"/>
    <x v="0"/>
    <n v="1191.58"/>
    <n v="14"/>
    <n v="0.05"/>
    <s v="2024-04-24"/>
    <n v="452.8"/>
    <d v="2026-10-28T10:45:37"/>
  </r>
  <r>
    <s v="CUST023"/>
    <s v="Robert Anderson"/>
    <x v="0"/>
    <x v="3"/>
    <n v="822.28"/>
    <n v="7"/>
    <n v="0.05"/>
    <s v="2024-04-24"/>
    <n v="273.41000000000003"/>
    <d v="2026-10-28T10:45:37"/>
  </r>
  <r>
    <s v="CUST029"/>
    <s v="David Smith"/>
    <x v="3"/>
    <x v="3"/>
    <n v="521.66999999999996"/>
    <n v="15"/>
    <n v="0.15"/>
    <s v="2024-04-27"/>
    <n v="155.19999999999999"/>
    <d v="2026-10-28T10:45:37"/>
  </r>
  <r>
    <s v="CUST005"/>
    <s v="Sarah Anderson"/>
    <x v="2"/>
    <x v="2"/>
    <n v="1502.93"/>
    <n v="14"/>
    <n v="0.2"/>
    <s v="2024-04-28"/>
    <n v="300.58999999999997"/>
    <d v="2026-10-28T10:45:37"/>
  </r>
  <r>
    <s v="CUST008"/>
    <s v="Robert Anderson"/>
    <x v="2"/>
    <x v="0"/>
    <n v="877.58"/>
    <n v="10"/>
    <n v="0.15"/>
    <s v="2024-04-29"/>
    <n v="298.38"/>
    <d v="2026-10-28T10:45:37"/>
  </r>
  <r>
    <s v="CUST001"/>
    <s v="Lisa Thomas"/>
    <x v="0"/>
    <x v="0"/>
    <n v="636.70000000000005"/>
    <n v="4"/>
    <n v="0.2"/>
    <s v="2024-04-29"/>
    <n v="203.74"/>
    <d v="2026-10-28T10:45:37"/>
  </r>
  <r>
    <s v="CUST006"/>
    <s v="Mary Jackson"/>
    <x v="0"/>
    <x v="0"/>
    <n v="1506.14"/>
    <n v="13"/>
    <n v="0.2"/>
    <s v="2024-04-30"/>
    <n v="481.96"/>
    <d v="2026-10-28T10:45:37"/>
  </r>
  <r>
    <s v="CUST026"/>
    <s v="Mary Davis"/>
    <x v="4"/>
    <x v="2"/>
    <n v="645.02"/>
    <n v="4"/>
    <n v="0"/>
    <s v="2024-05-02"/>
    <n v="161.26"/>
    <d v="2026-10-28T10:45:37"/>
  </r>
  <r>
    <s v="CUST007"/>
    <s v="Lisa Davis"/>
    <x v="2"/>
    <x v="1"/>
    <n v="953.3"/>
    <n v="11"/>
    <n v="0"/>
    <s v="2024-05-03"/>
    <n v="476.65"/>
    <d v="2026-10-28T10:45:37"/>
  </r>
  <r>
    <s v="CUST022"/>
    <s v="Robert Anderson"/>
    <x v="3"/>
    <x v="2"/>
    <n v="388.56"/>
    <n v="14"/>
    <n v="0.15"/>
    <s v="2024-05-04"/>
    <n v="82.57"/>
    <d v="2026-10-28T10:45:37"/>
  </r>
  <r>
    <s v="CUST019"/>
    <s v="Mary Davis"/>
    <x v="0"/>
    <x v="0"/>
    <n v="743.17"/>
    <n v="9"/>
    <n v="0"/>
    <s v="2024-05-04"/>
    <n v="297.27"/>
    <d v="2026-10-28T10:45:37"/>
  </r>
  <r>
    <s v="CUST023"/>
    <s v="Mary Davis"/>
    <x v="4"/>
    <x v="2"/>
    <n v="706.37"/>
    <n v="6"/>
    <n v="0"/>
    <s v="2024-05-04"/>
    <n v="176.59"/>
    <d v="2026-10-28T10:45:37"/>
  </r>
  <r>
    <s v="CUST012"/>
    <s v="Mary Davis"/>
    <x v="4"/>
    <x v="4"/>
    <n v="925.31"/>
    <n v="8"/>
    <n v="0.1"/>
    <s v="2024-05-06"/>
    <n v="374.75"/>
    <d v="2026-10-28T10:45:37"/>
  </r>
  <r>
    <s v="CUST010"/>
    <s v="Linda Brown"/>
    <x v="2"/>
    <x v="2"/>
    <n v="1173.1199999999999"/>
    <n v="18"/>
    <n v="0"/>
    <s v="2024-05-06"/>
    <n v="293.27999999999997"/>
    <d v="2026-10-28T10:45:37"/>
  </r>
  <r>
    <s v="CUST030"/>
    <s v="John Brown"/>
    <x v="3"/>
    <x v="3"/>
    <n v="675.54"/>
    <n v="17"/>
    <n v="0"/>
    <s v="2024-05-08"/>
    <n v="236.44"/>
    <d v="2026-10-28T10:45:37"/>
  </r>
  <r>
    <s v="CUST007"/>
    <s v="Robert Anderson"/>
    <x v="4"/>
    <x v="0"/>
    <n v="939.09"/>
    <n v="2"/>
    <n v="0.05"/>
    <s v="2024-05-10"/>
    <n v="356.85"/>
    <d v="2026-10-28T10:45:37"/>
  </r>
  <r>
    <s v="CUST028"/>
    <s v="Linda Taylor"/>
    <x v="1"/>
    <x v="4"/>
    <n v="983.34"/>
    <n v="19"/>
    <n v="0.1"/>
    <s v="2024-05-14"/>
    <n v="398.25"/>
    <d v="2026-10-28T10:45:37"/>
  </r>
  <r>
    <s v="CUST028"/>
    <s v="James Wilson"/>
    <x v="2"/>
    <x v="2"/>
    <n v="801.21"/>
    <n v="3"/>
    <n v="0.2"/>
    <s v="2024-05-14"/>
    <n v="160.24"/>
    <d v="2026-10-28T10:45:37"/>
  </r>
  <r>
    <s v="CUST025"/>
    <s v="David Brown"/>
    <x v="3"/>
    <x v="2"/>
    <n v="1450.71"/>
    <n v="5"/>
    <n v="0.1"/>
    <s v="2024-05-15"/>
    <n v="326.41000000000003"/>
    <d v="2026-10-28T10:45:37"/>
  </r>
  <r>
    <s v="CUST022"/>
    <s v="David Davis"/>
    <x v="4"/>
    <x v="0"/>
    <n v="1023.21"/>
    <n v="18"/>
    <n v="0.05"/>
    <s v="2024-05-16"/>
    <n v="388.82"/>
    <d v="2026-10-28T10:45:37"/>
  </r>
  <r>
    <s v="CUST001"/>
    <s v="Mary Jackson"/>
    <x v="0"/>
    <x v="3"/>
    <n v="853.72"/>
    <n v="5"/>
    <n v="0.15"/>
    <s v="2024-05-16"/>
    <n v="253.98"/>
    <d v="2026-10-28T10:45:37"/>
  </r>
  <r>
    <s v="CUST021"/>
    <s v="Sarah Anderson"/>
    <x v="2"/>
    <x v="2"/>
    <n v="967.89"/>
    <n v="10"/>
    <n v="0.1"/>
    <s v="2024-05-17"/>
    <n v="217.78"/>
    <d v="2026-10-28T10:45:37"/>
  </r>
  <r>
    <s v="CUST015"/>
    <s v="Linda Taylor"/>
    <x v="3"/>
    <x v="4"/>
    <n v="1200.9000000000001"/>
    <n v="14"/>
    <n v="0.05"/>
    <s v="2024-05-17"/>
    <n v="513.38"/>
    <d v="2026-10-28T10:45:37"/>
  </r>
  <r>
    <s v="CUST012"/>
    <s v="Michael Anderson"/>
    <x v="0"/>
    <x v="0"/>
    <n v="472.38"/>
    <n v="12"/>
    <n v="0.2"/>
    <s v="2024-05-17"/>
    <n v="151.16"/>
    <d v="2026-10-28T10:45:37"/>
  </r>
  <r>
    <s v="CUST019"/>
    <s v="David Brown"/>
    <x v="1"/>
    <x v="4"/>
    <n v="840.92"/>
    <n v="9"/>
    <n v="0.05"/>
    <s v="2024-05-17"/>
    <n v="359.49"/>
    <d v="2026-10-28T10:45:37"/>
  </r>
  <r>
    <s v="CUST028"/>
    <s v="Lisa Davis"/>
    <x v="4"/>
    <x v="3"/>
    <n v="1410.06"/>
    <n v="11"/>
    <n v="0.05"/>
    <s v="2024-05-22"/>
    <n v="468.84"/>
    <d v="2026-10-28T10:45:37"/>
  </r>
  <r>
    <s v="CUST008"/>
    <s v="Mary Wilson"/>
    <x v="4"/>
    <x v="3"/>
    <n v="773.09"/>
    <n v="13"/>
    <n v="0.15"/>
    <s v="2024-05-22"/>
    <n v="229.99"/>
    <d v="2026-10-28T10:45:37"/>
  </r>
  <r>
    <s v="CUST016"/>
    <s v="Emma Wilson"/>
    <x v="1"/>
    <x v="0"/>
    <n v="580.42999999999995"/>
    <n v="19"/>
    <n v="0.15"/>
    <s v="2024-05-23"/>
    <n v="197.35"/>
    <d v="2026-10-28T10:45:37"/>
  </r>
  <r>
    <s v="CUST005"/>
    <s v="David Smith"/>
    <x v="2"/>
    <x v="0"/>
    <n v="1151.21"/>
    <n v="15"/>
    <n v="0.1"/>
    <s v="2024-06-02"/>
    <n v="414.44"/>
    <d v="2026-10-28T10:45:37"/>
  </r>
  <r>
    <s v="CUST028"/>
    <s v="James Wilson"/>
    <x v="4"/>
    <x v="4"/>
    <n v="1025.98"/>
    <n v="5"/>
    <n v="0.2"/>
    <s v="2024-06-04"/>
    <n v="369.35"/>
    <d v="2026-10-28T10:45:37"/>
  </r>
  <r>
    <s v="CUST023"/>
    <s v="David Davis"/>
    <x v="1"/>
    <x v="4"/>
    <n v="556.41999999999996"/>
    <n v="11"/>
    <n v="0.15"/>
    <s v="2024-06-04"/>
    <n v="212.83"/>
    <d v="2026-10-28T10:45:37"/>
  </r>
  <r>
    <s v="CUST021"/>
    <s v="James Wilson"/>
    <x v="4"/>
    <x v="0"/>
    <n v="840.85"/>
    <n v="19"/>
    <n v="0.1"/>
    <s v="2024-06-05"/>
    <n v="302.70999999999998"/>
    <d v="2026-10-28T10:45:37"/>
  </r>
  <r>
    <s v="CUST026"/>
    <s v="Emma Wilson"/>
    <x v="3"/>
    <x v="3"/>
    <n v="1227.25"/>
    <n v="12"/>
    <n v="0.15"/>
    <s v="2024-06-05"/>
    <n v="365.11"/>
    <d v="2026-10-28T10:45:37"/>
  </r>
  <r>
    <s v="CUST017"/>
    <s v="Linda Davis"/>
    <x v="4"/>
    <x v="2"/>
    <n v="856.7"/>
    <n v="2"/>
    <n v="0"/>
    <s v="2024-06-06"/>
    <n v="214.18"/>
    <d v="2026-10-28T10:45:37"/>
  </r>
  <r>
    <s v="CUST025"/>
    <s v="David Davis"/>
    <x v="4"/>
    <x v="4"/>
    <n v="1225.42"/>
    <n v="8"/>
    <n v="0.15"/>
    <s v="2024-06-06"/>
    <n v="468.72"/>
    <d v="2026-10-28T10:45:37"/>
  </r>
  <r>
    <s v="CUST011"/>
    <s v="Mary Davis"/>
    <x v="3"/>
    <x v="4"/>
    <n v="1001.57"/>
    <n v="12"/>
    <n v="0"/>
    <s v="2024-06-07"/>
    <n v="450.71"/>
    <d v="2026-10-28T10:45:37"/>
  </r>
  <r>
    <s v="CUST021"/>
    <s v="Michael Anderson"/>
    <x v="1"/>
    <x v="3"/>
    <n v="1186.8499999999999"/>
    <n v="19"/>
    <n v="0.2"/>
    <s v="2024-06-08"/>
    <n v="332.32"/>
    <d v="2026-10-28T10:45:37"/>
  </r>
  <r>
    <s v="CUST008"/>
    <s v="John Brown"/>
    <x v="2"/>
    <x v="2"/>
    <n v="775.45"/>
    <n v="6"/>
    <n v="0.1"/>
    <s v="2024-06-14"/>
    <n v="174.48"/>
    <d v="2026-10-28T10:45:37"/>
  </r>
  <r>
    <s v="CUST007"/>
    <s v="Linda Jackson"/>
    <x v="2"/>
    <x v="2"/>
    <n v="1021.47"/>
    <n v="6"/>
    <n v="0.05"/>
    <s v="2024-06-18"/>
    <n v="242.6"/>
    <d v="2026-10-28T10:45:37"/>
  </r>
  <r>
    <s v="CUST015"/>
    <s v="James Wilson"/>
    <x v="2"/>
    <x v="1"/>
    <n v="1226.6199999999999"/>
    <n v="7"/>
    <n v="0.1"/>
    <s v="2024-06-20"/>
    <n v="551.98"/>
    <d v="2026-10-28T10:45:37"/>
  </r>
  <r>
    <s v="CUST030"/>
    <s v="Sarah Davis"/>
    <x v="2"/>
    <x v="3"/>
    <n v="1086.93"/>
    <n v="2"/>
    <n v="0"/>
    <s v="2024-06-21"/>
    <n v="380.43"/>
    <d v="2026-10-28T10:45:37"/>
  </r>
  <r>
    <s v="CUST002"/>
    <s v="Lisa Davis"/>
    <x v="0"/>
    <x v="0"/>
    <n v="942.9"/>
    <n v="18"/>
    <n v="0.1"/>
    <s v="2024-06-23"/>
    <n v="339.44"/>
    <d v="2026-10-28T10:45:37"/>
  </r>
  <r>
    <s v="CUST009"/>
    <s v="Emma Davis"/>
    <x v="3"/>
    <x v="2"/>
    <n v="818.8"/>
    <n v="15"/>
    <n v="0.15"/>
    <s v="2024-06-25"/>
    <n v="173.99"/>
    <d v="2026-10-28T10:45:37"/>
  </r>
  <r>
    <s v="CUST005"/>
    <s v="Robert Anderson"/>
    <x v="2"/>
    <x v="3"/>
    <n v="919.04"/>
    <n v="10"/>
    <n v="0.2"/>
    <s v="2024-06-25"/>
    <n v="257.33"/>
    <d v="2026-10-28T10:45:37"/>
  </r>
  <r>
    <s v="CUST030"/>
    <s v="Emma Taylor"/>
    <x v="4"/>
    <x v="0"/>
    <n v="973.26"/>
    <n v="11"/>
    <n v="0"/>
    <s v="2024-06-27"/>
    <n v="389.3"/>
    <d v="2026-10-28T10:45:37"/>
  </r>
  <r>
    <s v="CUST029"/>
    <s v="Sarah Davis"/>
    <x v="3"/>
    <x v="2"/>
    <n v="741.61"/>
    <n v="1"/>
    <n v="0.2"/>
    <s v="2024-06-28"/>
    <n v="148.32"/>
    <d v="2026-10-28T10:45:37"/>
  </r>
  <r>
    <s v="CUST003"/>
    <s v="Emma Davis"/>
    <x v="3"/>
    <x v="0"/>
    <n v="1248.82"/>
    <n v="2"/>
    <n v="0.1"/>
    <s v="2024-06-30"/>
    <n v="449.58"/>
    <d v="2026-10-28T10:45:37"/>
  </r>
  <r>
    <s v="CUST012"/>
    <s v="Mary Wilson"/>
    <x v="0"/>
    <x v="1"/>
    <n v="1360.36"/>
    <n v="17"/>
    <n v="0"/>
    <s v="2024-06-30"/>
    <n v="680.18"/>
    <d v="2026-10-28T10:45:37"/>
  </r>
  <r>
    <s v="CUST021"/>
    <s v="Mary Davis"/>
    <x v="1"/>
    <x v="0"/>
    <n v="1383.3"/>
    <n v="8"/>
    <n v="0.1"/>
    <s v="2024-07-05"/>
    <n v="497.99"/>
    <d v="2026-10-28T10:45:37"/>
  </r>
  <r>
    <s v="CUST010"/>
    <s v="David Brown"/>
    <x v="4"/>
    <x v="4"/>
    <n v="488.99"/>
    <n v="9"/>
    <n v="0"/>
    <s v="2024-07-06"/>
    <n v="220.05"/>
    <d v="2026-10-28T10:45:37"/>
  </r>
  <r>
    <s v="CUST026"/>
    <s v="Mary Davis"/>
    <x v="1"/>
    <x v="3"/>
    <n v="933.71"/>
    <n v="17"/>
    <n v="0.1"/>
    <s v="2024-07-08"/>
    <n v="294.12"/>
    <d v="2026-10-28T10:45:37"/>
  </r>
  <r>
    <s v="CUST003"/>
    <s v="James Davis"/>
    <x v="0"/>
    <x v="2"/>
    <n v="1005.53"/>
    <n v="17"/>
    <n v="0.2"/>
    <s v="2024-07-08"/>
    <n v="201.11"/>
    <d v="2026-10-28T10:45:37"/>
  </r>
  <r>
    <s v="CUST029"/>
    <s v="Emma Wilson"/>
    <x v="2"/>
    <x v="2"/>
    <n v="1100.0999999999999"/>
    <n v="5"/>
    <n v="0.05"/>
    <s v="2024-07-09"/>
    <n v="261.27"/>
    <d v="2026-10-28T10:45:37"/>
  </r>
  <r>
    <s v="CUST003"/>
    <s v="James Wilson"/>
    <x v="3"/>
    <x v="3"/>
    <n v="1034.7"/>
    <n v="15"/>
    <n v="0.15"/>
    <s v="2024-07-14"/>
    <n v="307.82"/>
    <d v="2026-10-28T10:45:37"/>
  </r>
  <r>
    <s v="CUST002"/>
    <s v="Mary Davis"/>
    <x v="2"/>
    <x v="0"/>
    <n v="876.44"/>
    <n v="12"/>
    <n v="0.05"/>
    <s v="2024-07-15"/>
    <n v="333.05"/>
    <d v="2026-10-28T10:45:37"/>
  </r>
  <r>
    <s v="CUST020"/>
    <s v="David Brown"/>
    <x v="0"/>
    <x v="3"/>
    <n v="1371.34"/>
    <n v="5"/>
    <n v="0.05"/>
    <s v="2024-07-15"/>
    <n v="455.97"/>
    <d v="2026-10-28T10:45:37"/>
  </r>
  <r>
    <s v="CUST021"/>
    <s v="Mary Jackson"/>
    <x v="3"/>
    <x v="2"/>
    <n v="1020.26"/>
    <n v="11"/>
    <n v="0.05"/>
    <s v="2024-07-21"/>
    <n v="242.31"/>
    <d v="2026-10-28T10:45:37"/>
  </r>
  <r>
    <s v="CUST008"/>
    <s v="James Davis"/>
    <x v="4"/>
    <x v="4"/>
    <n v="804.81"/>
    <n v="1"/>
    <n v="0.05"/>
    <s v="2024-07-29"/>
    <n v="344.06"/>
    <d v="2026-10-28T10:45:37"/>
  </r>
  <r>
    <s v="CUST030"/>
    <s v="David Brown"/>
    <x v="4"/>
    <x v="2"/>
    <n v="608.66"/>
    <n v="1"/>
    <n v="0.05"/>
    <s v="2024-07-30"/>
    <n v="144.56"/>
    <d v="2026-10-28T10:45:37"/>
  </r>
  <r>
    <s v="CUST020"/>
    <s v="Linda Moore"/>
    <x v="2"/>
    <x v="4"/>
    <n v="981.2"/>
    <n v="19"/>
    <n v="0"/>
    <s v="2024-07-31"/>
    <n v="441.54"/>
    <d v="2026-10-28T10:45:37"/>
  </r>
  <r>
    <s v="CUST024"/>
    <s v="David Brown"/>
    <x v="1"/>
    <x v="2"/>
    <n v="539.77"/>
    <n v="10"/>
    <n v="0.15"/>
    <s v="2024-08-05"/>
    <n v="114.7"/>
    <d v="2026-10-28T10:45:37"/>
  </r>
  <r>
    <s v="CUST012"/>
    <s v="David Anderson"/>
    <x v="2"/>
    <x v="0"/>
    <n v="804.45"/>
    <n v="5"/>
    <n v="0.2"/>
    <s v="2024-08-05"/>
    <n v="257.42"/>
    <d v="2026-10-28T10:45:37"/>
  </r>
  <r>
    <s v="CUST024"/>
    <s v="Emma Davis"/>
    <x v="0"/>
    <x v="2"/>
    <n v="1526.6"/>
    <n v="13"/>
    <n v="0.2"/>
    <s v="2024-08-08"/>
    <n v="305.32"/>
    <d v="2026-10-28T10:45:37"/>
  </r>
  <r>
    <s v="CUST012"/>
    <s v="Linda Wilson"/>
    <x v="0"/>
    <x v="2"/>
    <n v="1215.26"/>
    <n v="5"/>
    <n v="0.15"/>
    <s v="2024-08-09"/>
    <n v="258.24"/>
    <d v="2026-10-28T10:45:37"/>
  </r>
  <r>
    <s v="CUST005"/>
    <s v="Linda Taylor"/>
    <x v="4"/>
    <x v="3"/>
    <n v="1261.3399999999999"/>
    <n v="3"/>
    <n v="0"/>
    <s v="2024-08-15"/>
    <n v="441.47"/>
    <d v="2026-10-28T10:45:37"/>
  </r>
  <r>
    <s v="CUST004"/>
    <s v="Lisa Thomas"/>
    <x v="3"/>
    <x v="3"/>
    <n v="518.07000000000005"/>
    <n v="7"/>
    <n v="0.05"/>
    <s v="2024-08-18"/>
    <n v="172.26"/>
    <d v="2026-10-28T10:45:37"/>
  </r>
  <r>
    <s v="CUST026"/>
    <s v="Linda Wilson"/>
    <x v="0"/>
    <x v="4"/>
    <n v="1111.3399999999999"/>
    <n v="1"/>
    <n v="0"/>
    <s v="2024-08-19"/>
    <n v="500.1"/>
    <d v="2026-10-28T10:45:37"/>
  </r>
  <r>
    <s v="CUST030"/>
    <s v="Mary Davis"/>
    <x v="1"/>
    <x v="1"/>
    <n v="1291.47"/>
    <n v="18"/>
    <n v="0.1"/>
    <s v="2024-08-22"/>
    <n v="581.16"/>
    <d v="2026-10-28T10:45:37"/>
  </r>
  <r>
    <s v="CUST007"/>
    <s v="David Brown"/>
    <x v="3"/>
    <x v="0"/>
    <n v="679.71"/>
    <n v="19"/>
    <n v="0"/>
    <s v="2024-08-30"/>
    <n v="271.88"/>
    <d v="2026-10-28T10:45:37"/>
  </r>
  <r>
    <s v="CUST020"/>
    <s v="Linda Jackson"/>
    <x v="1"/>
    <x v="3"/>
    <n v="1143.69"/>
    <n v="17"/>
    <n v="0"/>
    <s v="2024-08-30"/>
    <n v="400.29"/>
    <d v="2026-10-28T10:45:37"/>
  </r>
  <r>
    <s v="CUST028"/>
    <s v="Linda Brown"/>
    <x v="4"/>
    <x v="2"/>
    <n v="790.08"/>
    <n v="7"/>
    <n v="0.1"/>
    <s v="2024-09-01"/>
    <n v="177.77"/>
    <d v="2026-10-28T10:45:37"/>
  </r>
  <r>
    <s v="CUST005"/>
    <s v="Lisa Davis"/>
    <x v="4"/>
    <x v="0"/>
    <n v="1070.68"/>
    <n v="7"/>
    <n v="0.05"/>
    <s v="2024-09-01"/>
    <n v="406.86"/>
    <d v="2026-10-28T10:45:37"/>
  </r>
  <r>
    <s v="CUST015"/>
    <s v="David Thomas"/>
    <x v="0"/>
    <x v="1"/>
    <n v="1168.8900000000001"/>
    <n v="4"/>
    <n v="0.1"/>
    <s v="2024-09-09"/>
    <n v="526"/>
    <d v="2026-10-28T10:45:37"/>
  </r>
  <r>
    <s v="CUST003"/>
    <s v="James Davis"/>
    <x v="2"/>
    <x v="2"/>
    <n v="1335.87"/>
    <n v="17"/>
    <n v="0"/>
    <s v="2024-09-09"/>
    <n v="333.97"/>
    <d v="2026-10-28T10:45:37"/>
  </r>
  <r>
    <s v="CUST023"/>
    <s v="David Brown"/>
    <x v="1"/>
    <x v="3"/>
    <n v="873.7"/>
    <n v="9"/>
    <n v="0"/>
    <s v="2024-09-11"/>
    <n v="305.8"/>
    <d v="2026-10-28T10:45:37"/>
  </r>
  <r>
    <s v="CUST004"/>
    <s v="Sarah Davis"/>
    <x v="0"/>
    <x v="4"/>
    <n v="1443.98"/>
    <n v="19"/>
    <n v="0"/>
    <s v="2024-09-12"/>
    <n v="649.79"/>
    <d v="2026-10-28T10:45:37"/>
  </r>
  <r>
    <s v="CUST023"/>
    <s v="James Wilson"/>
    <x v="1"/>
    <x v="4"/>
    <n v="1154.33"/>
    <n v="11"/>
    <n v="0.15"/>
    <s v="2024-09-14"/>
    <n v="441.53"/>
    <d v="2026-10-28T10:45:37"/>
  </r>
  <r>
    <s v="CUST022"/>
    <s v="Linda Brown"/>
    <x v="2"/>
    <x v="0"/>
    <n v="1264.49"/>
    <n v="16"/>
    <n v="0.05"/>
    <s v="2024-09-14"/>
    <n v="480.51"/>
    <d v="2026-10-28T10:45:37"/>
  </r>
  <r>
    <s v="CUST007"/>
    <s v="Emma Taylor"/>
    <x v="0"/>
    <x v="3"/>
    <n v="1101.55"/>
    <n v="4"/>
    <n v="0.1"/>
    <s v="2024-09-16"/>
    <n v="346.99"/>
    <d v="2026-10-28T10:45:37"/>
  </r>
  <r>
    <s v="CUST013"/>
    <s v="Robert Anderson"/>
    <x v="2"/>
    <x v="3"/>
    <n v="727.73"/>
    <n v="1"/>
    <n v="0.1"/>
    <s v="2024-09-17"/>
    <n v="229.23"/>
    <d v="2026-10-28T10:45:37"/>
  </r>
  <r>
    <s v="CUST027"/>
    <s v="Emma Davis"/>
    <x v="1"/>
    <x v="4"/>
    <n v="875.41"/>
    <n v="13"/>
    <n v="0.15"/>
    <s v="2024-09-17"/>
    <n v="334.84"/>
    <d v="2026-10-28T10:45:37"/>
  </r>
  <r>
    <s v="CUST003"/>
    <s v="James Wilson"/>
    <x v="0"/>
    <x v="2"/>
    <n v="1158.94"/>
    <n v="19"/>
    <n v="0.2"/>
    <s v="2024-09-18"/>
    <n v="231.79"/>
    <d v="2026-10-28T10:45:37"/>
  </r>
  <r>
    <s v="CUST018"/>
    <s v="Mary Jackson"/>
    <x v="2"/>
    <x v="0"/>
    <n v="966.3"/>
    <n v="2"/>
    <n v="0.15"/>
    <s v="2024-09-22"/>
    <n v="328.54"/>
    <d v="2026-10-28T10:45:37"/>
  </r>
  <r>
    <s v="CUST020"/>
    <s v="James Taylor"/>
    <x v="2"/>
    <x v="0"/>
    <n v="917.48"/>
    <n v="6"/>
    <n v="0"/>
    <s v="2024-09-23"/>
    <n v="366.99"/>
    <d v="2026-10-28T10:45:37"/>
  </r>
  <r>
    <s v="CUST029"/>
    <s v="Emma Wilson"/>
    <x v="0"/>
    <x v="3"/>
    <n v="1172.97"/>
    <n v="7"/>
    <n v="0.15"/>
    <s v="2024-09-24"/>
    <n v="348.96"/>
    <d v="2026-10-28T10:45:37"/>
  </r>
  <r>
    <s v="CUST021"/>
    <s v="James Wilson"/>
    <x v="3"/>
    <x v="1"/>
    <n v="1205.82"/>
    <n v="11"/>
    <n v="0.1"/>
    <s v="2024-09-24"/>
    <n v="542.62"/>
    <d v="2026-10-28T10:45:37"/>
  </r>
  <r>
    <s v="CUST017"/>
    <s v="Sarah Davis"/>
    <x v="0"/>
    <x v="4"/>
    <n v="826.93"/>
    <n v="10"/>
    <n v="0.2"/>
    <s v="2024-09-29"/>
    <n v="297.69"/>
    <d v="2026-10-28T10:45:37"/>
  </r>
  <r>
    <s v="CUST003"/>
    <s v="James Wilson"/>
    <x v="4"/>
    <x v="1"/>
    <n v="902.19"/>
    <n v="12"/>
    <n v="0"/>
    <s v="2024-09-29"/>
    <n v="451.1"/>
    <d v="2026-10-28T10:45:37"/>
  </r>
  <r>
    <s v="CUST027"/>
    <s v="Emma Davis"/>
    <x v="3"/>
    <x v="0"/>
    <n v="585.97"/>
    <n v="17"/>
    <n v="0.1"/>
    <s v="2024-09-30"/>
    <n v="210.95"/>
    <d v="2026-10-28T10:45:37"/>
  </r>
  <r>
    <s v="CUST016"/>
    <s v="Michael Anderson"/>
    <x v="3"/>
    <x v="1"/>
    <n v="990.19"/>
    <n v="8"/>
    <n v="0.1"/>
    <s v="2024-09-30"/>
    <n v="445.59"/>
    <d v="2026-10-28T10:45:37"/>
  </r>
  <r>
    <s v="CUST008"/>
    <s v="David Davis"/>
    <x v="4"/>
    <x v="2"/>
    <n v="1014.09"/>
    <n v="13"/>
    <n v="0.2"/>
    <s v="2024-10-02"/>
    <n v="202.82"/>
    <d v="2026-10-28T10:45:37"/>
  </r>
  <r>
    <s v="CUST012"/>
    <s v="Lisa Davis"/>
    <x v="3"/>
    <x v="2"/>
    <n v="925.29"/>
    <n v="17"/>
    <n v="0"/>
    <s v="2024-10-05"/>
    <n v="231.32"/>
    <d v="2026-10-28T10:45:37"/>
  </r>
  <r>
    <s v="CUST025"/>
    <s v="Mary Jackson"/>
    <x v="1"/>
    <x v="3"/>
    <n v="1286.54"/>
    <n v="8"/>
    <n v="0"/>
    <s v="2024-10-10"/>
    <n v="450.29"/>
    <d v="2026-10-28T10:45:37"/>
  </r>
  <r>
    <s v="CUST014"/>
    <s v="Sarah Davis"/>
    <x v="2"/>
    <x v="0"/>
    <n v="961.62"/>
    <n v="8"/>
    <n v="0.2"/>
    <s v="2024-10-12"/>
    <n v="307.72000000000003"/>
    <d v="2026-10-28T10:45:37"/>
  </r>
  <r>
    <s v="CUST008"/>
    <s v="James Wilson"/>
    <x v="1"/>
    <x v="0"/>
    <n v="1081.1400000000001"/>
    <n v="19"/>
    <n v="0.15"/>
    <s v="2024-10-12"/>
    <n v="367.59"/>
    <d v="2026-10-28T10:45:37"/>
  </r>
  <r>
    <s v="CUST015"/>
    <s v="James Wilson"/>
    <x v="0"/>
    <x v="1"/>
    <n v="1923.66"/>
    <n v="9"/>
    <n v="0.2"/>
    <s v="2024-10-15"/>
    <n v="769.46"/>
    <d v="2026-10-28T10:45:37"/>
  </r>
  <r>
    <s v="CUST025"/>
    <s v="Emma Taylor"/>
    <x v="4"/>
    <x v="1"/>
    <n v="728.71"/>
    <n v="14"/>
    <n v="0.1"/>
    <s v="2024-10-16"/>
    <n v="327.92"/>
    <d v="2026-10-28T10:45:37"/>
  </r>
  <r>
    <s v="CUST019"/>
    <s v="Linda Jackson"/>
    <x v="4"/>
    <x v="1"/>
    <n v="1301.8900000000001"/>
    <n v="7"/>
    <n v="0.15"/>
    <s v="2024-10-16"/>
    <n v="553.29999999999995"/>
    <d v="2026-10-28T10:45:37"/>
  </r>
  <r>
    <s v="CUST024"/>
    <s v="Emma Taylor"/>
    <x v="1"/>
    <x v="0"/>
    <n v="980.18"/>
    <n v="16"/>
    <n v="0.1"/>
    <s v="2024-10-17"/>
    <n v="352.86"/>
    <d v="2026-10-28T10:45:37"/>
  </r>
  <r>
    <s v="CUST027"/>
    <s v="James Wilson"/>
    <x v="0"/>
    <x v="1"/>
    <n v="697.57"/>
    <n v="17"/>
    <n v="0.1"/>
    <s v="2024-10-19"/>
    <n v="313.91000000000003"/>
    <d v="2026-10-28T10:45:37"/>
  </r>
  <r>
    <s v="CUST006"/>
    <s v="David Anderson"/>
    <x v="0"/>
    <x v="3"/>
    <n v="1193.6099999999999"/>
    <n v="1"/>
    <n v="0.15"/>
    <s v="2024-10-19"/>
    <n v="355.1"/>
    <d v="2026-10-28T10:45:37"/>
  </r>
  <r>
    <s v="CUST009"/>
    <s v="Emma Davis"/>
    <x v="2"/>
    <x v="2"/>
    <n v="771.02"/>
    <n v="1"/>
    <n v="0"/>
    <s v="2024-10-20"/>
    <n v="192.76"/>
    <d v="2026-10-28T10:45:37"/>
  </r>
  <r>
    <s v="CUST003"/>
    <s v="Linda Moore"/>
    <x v="3"/>
    <x v="1"/>
    <n v="661.09"/>
    <n v="1"/>
    <n v="0.2"/>
    <s v="2024-10-28"/>
    <n v="264.44"/>
    <d v="2026-10-28T10:45:37"/>
  </r>
  <r>
    <s v="CUST012"/>
    <s v="David Brown"/>
    <x v="0"/>
    <x v="2"/>
    <n v="688.83"/>
    <n v="15"/>
    <n v="0"/>
    <s v="2024-10-30"/>
    <n v="172.21"/>
    <d v="2026-10-28T10:45:37"/>
  </r>
  <r>
    <s v="CUST013"/>
    <s v="Linda Wilson"/>
    <x v="4"/>
    <x v="0"/>
    <n v="1249.0999999999999"/>
    <n v="4"/>
    <n v="0.05"/>
    <s v="2024-11-01"/>
    <n v="474.66"/>
    <d v="2026-10-28T10:45:37"/>
  </r>
  <r>
    <s v="CUST008"/>
    <s v="James Wilson"/>
    <x v="1"/>
    <x v="4"/>
    <n v="1014.22"/>
    <n v="14"/>
    <n v="0.05"/>
    <s v="2024-11-03"/>
    <n v="433.58"/>
    <d v="2026-10-28T10:45:37"/>
  </r>
  <r>
    <s v="CUST025"/>
    <s v="Lisa Davis"/>
    <x v="1"/>
    <x v="0"/>
    <n v="1010.58"/>
    <n v="2"/>
    <n v="0.15"/>
    <s v="2024-11-09"/>
    <n v="343.6"/>
    <d v="2026-10-28T10:45:37"/>
  </r>
  <r>
    <s v="CUST026"/>
    <s v="Mary Wilson"/>
    <x v="3"/>
    <x v="3"/>
    <n v="957.29"/>
    <n v="4"/>
    <n v="0.05"/>
    <s v="2024-11-09"/>
    <n v="318.3"/>
    <d v="2026-10-28T10:45:37"/>
  </r>
  <r>
    <s v="CUST001"/>
    <s v="Lisa Thomas"/>
    <x v="3"/>
    <x v="3"/>
    <n v="1077.92"/>
    <n v="3"/>
    <n v="0.05"/>
    <s v="2024-11-12"/>
    <n v="358.41"/>
    <d v="2026-10-28T10:45:37"/>
  </r>
  <r>
    <s v="CUST028"/>
    <s v="Linda Brown"/>
    <x v="2"/>
    <x v="1"/>
    <n v="1163.01"/>
    <n v="5"/>
    <n v="0"/>
    <s v="2024-11-15"/>
    <n v="581.5"/>
    <d v="2026-10-28T10:45:37"/>
  </r>
  <r>
    <s v="CUST025"/>
    <s v="Lisa Thomas"/>
    <x v="1"/>
    <x v="4"/>
    <n v="1014.56"/>
    <n v="10"/>
    <n v="0.1"/>
    <s v="2024-11-16"/>
    <n v="410.9"/>
    <d v="2026-10-28T10:45:37"/>
  </r>
  <r>
    <s v="CUST019"/>
    <s v="James Taylor"/>
    <x v="2"/>
    <x v="2"/>
    <n v="718.04"/>
    <n v="14"/>
    <n v="0"/>
    <s v="2024-11-17"/>
    <n v="179.51"/>
    <d v="2026-10-28T10:45:37"/>
  </r>
  <r>
    <s v="CUST004"/>
    <s v="James Taylor"/>
    <x v="4"/>
    <x v="1"/>
    <n v="1277.8499999999999"/>
    <n v="18"/>
    <n v="0.2"/>
    <s v="2024-11-17"/>
    <n v="511.14"/>
    <d v="2026-10-28T10:45:37"/>
  </r>
  <r>
    <s v="CUST024"/>
    <s v="James Wilson"/>
    <x v="3"/>
    <x v="2"/>
    <n v="706.73"/>
    <n v="1"/>
    <n v="0.15"/>
    <s v="2024-11-17"/>
    <n v="150.18"/>
    <d v="2026-10-28T10:45:37"/>
  </r>
  <r>
    <s v="CUST002"/>
    <s v="Linda Brown"/>
    <x v="1"/>
    <x v="2"/>
    <n v="1410.59"/>
    <n v="15"/>
    <n v="0"/>
    <s v="2024-11-19"/>
    <n v="352.65"/>
    <d v="2026-10-28T10:45:37"/>
  </r>
  <r>
    <s v="CUST009"/>
    <s v="Emma Wilson"/>
    <x v="2"/>
    <x v="3"/>
    <n v="1350.33"/>
    <n v="10"/>
    <n v="0"/>
    <s v="2024-11-19"/>
    <n v="472.62"/>
    <d v="2026-10-28T10:45:37"/>
  </r>
  <r>
    <s v="CUST029"/>
    <s v="Lisa Thomas"/>
    <x v="1"/>
    <x v="2"/>
    <n v="919.18"/>
    <n v="4"/>
    <n v="0.15"/>
    <s v="2024-11-19"/>
    <n v="195.33"/>
    <d v="2026-10-28T10:45:37"/>
  </r>
  <r>
    <s v="CUST027"/>
    <s v="James Wilson"/>
    <x v="0"/>
    <x v="2"/>
    <n v="258.51"/>
    <n v="19"/>
    <n v="0"/>
    <s v="2024-11-20"/>
    <n v="64.63"/>
    <d v="2026-10-28T10:45:37"/>
  </r>
  <r>
    <s v="CUST011"/>
    <s v="Emma Wilson"/>
    <x v="1"/>
    <x v="0"/>
    <n v="1213.48"/>
    <n v="5"/>
    <n v="0.05"/>
    <s v="2024-11-20"/>
    <n v="461.12"/>
    <d v="2026-10-28T10:45:37"/>
  </r>
  <r>
    <s v="CUST021"/>
    <s v="Emma Davis"/>
    <x v="4"/>
    <x v="0"/>
    <n v="1150.28"/>
    <n v="8"/>
    <n v="0.05"/>
    <s v="2024-11-26"/>
    <n v="437.11"/>
    <d v="2026-10-28T10:45:37"/>
  </r>
  <r>
    <s v="CUST014"/>
    <s v="David Anderson"/>
    <x v="2"/>
    <x v="3"/>
    <n v="853.86"/>
    <n v="8"/>
    <n v="0.1"/>
    <s v="2024-11-26"/>
    <n v="268.97000000000003"/>
    <d v="2026-10-28T10:45:37"/>
  </r>
  <r>
    <s v="CUST018"/>
    <s v="Lisa Thomas"/>
    <x v="2"/>
    <x v="2"/>
    <n v="1061.04"/>
    <n v="1"/>
    <n v="0"/>
    <s v="2024-11-28"/>
    <n v="265.26"/>
    <d v="2026-10-28T10:45:37"/>
  </r>
  <r>
    <s v="CUST001"/>
    <s v="Sarah Anderson"/>
    <x v="0"/>
    <x v="2"/>
    <n v="894.55"/>
    <n v="19"/>
    <n v="0.2"/>
    <s v="2024-11-29"/>
    <n v="178.91"/>
    <d v="2026-10-28T10:45:37"/>
  </r>
  <r>
    <s v="CUST007"/>
    <s v="Emma Davis"/>
    <x v="3"/>
    <x v="4"/>
    <n v="833.91"/>
    <n v="3"/>
    <n v="0.05"/>
    <s v="2024-11-30"/>
    <n v="356.5"/>
    <d v="2026-10-28T10:45:37"/>
  </r>
  <r>
    <s v="CUST015"/>
    <s v="David Anderson"/>
    <x v="0"/>
    <x v="3"/>
    <n v="820.19"/>
    <n v="4"/>
    <n v="0.2"/>
    <s v="2024-12-04"/>
    <n v="229.65"/>
    <d v="2026-10-28T10:45:37"/>
  </r>
  <r>
    <s v="CUST015"/>
    <s v="Emma Davis"/>
    <x v="4"/>
    <x v="2"/>
    <n v="511.74"/>
    <n v="8"/>
    <n v="0.05"/>
    <s v="2024-12-05"/>
    <n v="121.54"/>
    <d v="2026-10-28T10:45:37"/>
  </r>
  <r>
    <s v="CUST002"/>
    <s v="Emma Wilson"/>
    <x v="2"/>
    <x v="3"/>
    <n v="806.03"/>
    <n v="19"/>
    <n v="0.05"/>
    <s v="2024-12-12"/>
    <n v="268"/>
    <d v="2026-10-28T10:45:37"/>
  </r>
  <r>
    <s v="CUST001"/>
    <s v="Michael Anderson"/>
    <x v="4"/>
    <x v="3"/>
    <n v="1432.47"/>
    <n v="16"/>
    <n v="0.15"/>
    <s v="2024-12-14"/>
    <n v="426.16"/>
    <d v="2026-10-28T10:45:37"/>
  </r>
  <r>
    <s v="CUST027"/>
    <s v="Linda Wilson"/>
    <x v="4"/>
    <x v="2"/>
    <n v="1488.58"/>
    <n v="10"/>
    <n v="0.15"/>
    <s v="2024-12-14"/>
    <n v="316.32"/>
    <d v="2026-10-28T10:45:37"/>
  </r>
  <r>
    <s v="CUST026"/>
    <s v="Emma Taylor"/>
    <x v="1"/>
    <x v="0"/>
    <n v="1231.26"/>
    <n v="9"/>
    <n v="0"/>
    <s v="2024-12-20"/>
    <n v="492.5"/>
    <d v="2026-10-28T10:45:37"/>
  </r>
  <r>
    <s v="CUST026"/>
    <s v="Sarah Anderson"/>
    <x v="0"/>
    <x v="2"/>
    <n v="1161.67"/>
    <n v="19"/>
    <n v="0.2"/>
    <s v="2024-12-21"/>
    <n v="232.33"/>
    <d v="2026-10-28T10:45:37"/>
  </r>
  <r>
    <s v="CUST022"/>
    <s v="Lisa Thomas"/>
    <x v="4"/>
    <x v="4"/>
    <n v="388.23"/>
    <n v="16"/>
    <n v="0.05"/>
    <s v="2024-12-24"/>
    <n v="165.97"/>
    <d v="2026-10-28T10:45:37"/>
  </r>
  <r>
    <s v="CUST004"/>
    <s v="Mary Davis"/>
    <x v="3"/>
    <x v="1"/>
    <n v="1589.42"/>
    <n v="6"/>
    <n v="0.15"/>
    <s v="2024-12-25"/>
    <n v="675.5"/>
    <d v="2026-10-28T10:45:37"/>
  </r>
  <r>
    <s v="CUST001"/>
    <s v="David Anderson"/>
    <x v="3"/>
    <x v="1"/>
    <n v="336.66"/>
    <n v="13"/>
    <n v="0.2"/>
    <s v="2024-12-25"/>
    <n v="134.66"/>
    <d v="2026-10-28T10:45:37"/>
  </r>
  <r>
    <s v="CUST022"/>
    <s v="James Wilson"/>
    <x v="0"/>
    <x v="0"/>
    <n v="1353.79"/>
    <n v="14"/>
    <n v="0.1"/>
    <s v="2024-12-30"/>
    <n v="487.36"/>
    <d v="2026-10-28T10:45:37"/>
  </r>
  <r>
    <s v="CUST011"/>
    <s v="Linda Moore"/>
    <x v="4"/>
    <x v="1"/>
    <n v="662.61"/>
    <n v="11"/>
    <n v="0.05"/>
    <s v="2025-01-01"/>
    <n v="314.74"/>
    <d v="2026-10-28T10:45:37"/>
  </r>
  <r>
    <s v="CUST028"/>
    <s v="Lisa Davis"/>
    <x v="3"/>
    <x v="4"/>
    <n v="309.42"/>
    <n v="1"/>
    <n v="0.2"/>
    <s v="2025-01-01"/>
    <n v="111.39"/>
    <d v="2026-10-28T10:45:37"/>
  </r>
  <r>
    <s v="CUST011"/>
    <s v="Linda Wilson"/>
    <x v="3"/>
    <x v="0"/>
    <n v="884.63"/>
    <n v="18"/>
    <n v="0.1"/>
    <s v="2025-01-02"/>
    <n v="318.47000000000003"/>
    <d v="2026-10-28T10:45:37"/>
  </r>
  <r>
    <s v="CUST028"/>
    <s v="James Wilson"/>
    <x v="4"/>
    <x v="4"/>
    <n v="745.05"/>
    <n v="10"/>
    <n v="0.1"/>
    <s v="2025-01-03"/>
    <n v="301.75"/>
    <d v="2026-10-28T10:45:37"/>
  </r>
  <r>
    <s v="CUST016"/>
    <s v="James Taylor"/>
    <x v="2"/>
    <x v="1"/>
    <n v="870.23"/>
    <n v="5"/>
    <n v="0.05"/>
    <s v="2025-01-03"/>
    <n v="413.36"/>
    <d v="2026-10-28T10:45:37"/>
  </r>
  <r>
    <s v="CUST010"/>
    <s v="Linda Wilson"/>
    <x v="0"/>
    <x v="3"/>
    <n v="862.19"/>
    <n v="18"/>
    <n v="0.05"/>
    <s v="2025-01-06"/>
    <n v="286.68"/>
    <d v="2026-10-28T10:45:37"/>
  </r>
  <r>
    <s v="CUST013"/>
    <s v="Mary Wilson"/>
    <x v="3"/>
    <x v="1"/>
    <n v="1171.18"/>
    <n v="19"/>
    <n v="0.05"/>
    <s v="2025-01-10"/>
    <n v="556.30999999999995"/>
    <d v="2026-10-28T10:45:37"/>
  </r>
  <r>
    <s v="CUST015"/>
    <s v="Robert Anderson"/>
    <x v="2"/>
    <x v="3"/>
    <n v="1054.56"/>
    <n v="11"/>
    <n v="0.1"/>
    <s v="2025-01-12"/>
    <n v="332.19"/>
    <d v="2026-10-28T10:45:37"/>
  </r>
  <r>
    <s v="CUST015"/>
    <s v="James Wilson"/>
    <x v="3"/>
    <x v="2"/>
    <n v="1681.21"/>
    <n v="5"/>
    <n v="0.2"/>
    <s v="2025-01-13"/>
    <n v="336.24"/>
    <d v="2026-10-28T10:45:37"/>
  </r>
  <r>
    <s v="CUST015"/>
    <s v="David Thomas"/>
    <x v="0"/>
    <x v="1"/>
    <n v="379.77"/>
    <n v="9"/>
    <n v="0.05"/>
    <s v="2025-01-16"/>
    <n v="180.39"/>
    <d v="2026-10-28T10:45:37"/>
  </r>
  <r>
    <s v="CUST008"/>
    <s v="Lisa Thomas"/>
    <x v="4"/>
    <x v="1"/>
    <n v="1076.33"/>
    <n v="2"/>
    <n v="0.1"/>
    <s v="2025-01-17"/>
    <n v="484.35"/>
    <d v="2026-10-28T10:45:37"/>
  </r>
  <r>
    <s v="CUST008"/>
    <s v="Mary Davis"/>
    <x v="4"/>
    <x v="4"/>
    <n v="1250.71"/>
    <n v="7"/>
    <n v="0"/>
    <s v="2025-01-17"/>
    <n v="562.82000000000005"/>
    <d v="2026-10-28T10:45:37"/>
  </r>
  <r>
    <s v="CUST023"/>
    <s v="James Taylor"/>
    <x v="2"/>
    <x v="1"/>
    <n v="1118.3399999999999"/>
    <n v="6"/>
    <n v="0.2"/>
    <s v="2025-01-17"/>
    <n v="447.34"/>
    <d v="2026-10-28T10:45:37"/>
  </r>
  <r>
    <s v="CUST024"/>
    <s v="Linda Taylor"/>
    <x v="3"/>
    <x v="1"/>
    <n v="1622.62"/>
    <n v="12"/>
    <n v="0.2"/>
    <s v="2025-01-20"/>
    <n v="649.04999999999995"/>
    <d v="2026-10-28T10:45:37"/>
  </r>
  <r>
    <s v="CUST018"/>
    <s v="Lisa Davis"/>
    <x v="3"/>
    <x v="0"/>
    <n v="640.64"/>
    <n v="11"/>
    <n v="0.2"/>
    <s v="2025-01-21"/>
    <n v="205"/>
    <d v="2026-10-28T10:45:37"/>
  </r>
  <r>
    <s v="CUST030"/>
    <s v="Sarah Anderson"/>
    <x v="0"/>
    <x v="1"/>
    <n v="585.16"/>
    <n v="17"/>
    <n v="0.1"/>
    <s v="2025-01-27"/>
    <n v="263.32"/>
    <d v="2026-10-28T10:45:37"/>
  </r>
  <r>
    <s v="CUST030"/>
    <s v="Mary Davis"/>
    <x v="1"/>
    <x v="1"/>
    <n v="1109.98"/>
    <n v="5"/>
    <n v="0.2"/>
    <s v="2025-02-02"/>
    <n v="443.99"/>
    <d v="2026-10-28T10:45:37"/>
  </r>
  <r>
    <s v="CUST015"/>
    <s v="Lisa Thomas"/>
    <x v="1"/>
    <x v="0"/>
    <n v="1098.08"/>
    <n v="9"/>
    <n v="0.1"/>
    <s v="2025-02-04"/>
    <n v="395.31"/>
    <d v="2026-10-28T10:45:37"/>
  </r>
  <r>
    <s v="CUST002"/>
    <s v="Lisa Davis"/>
    <x v="0"/>
    <x v="4"/>
    <n v="827.25"/>
    <n v="7"/>
    <n v="0.1"/>
    <s v="2025-02-05"/>
    <n v="335.04"/>
    <d v="2026-10-28T10:45:37"/>
  </r>
  <r>
    <s v="CUST024"/>
    <s v="Linda Wilson"/>
    <x v="4"/>
    <x v="1"/>
    <n v="741.88"/>
    <n v="16"/>
    <n v="0.1"/>
    <s v="2025-02-07"/>
    <n v="333.85"/>
    <d v="2026-10-28T10:45:37"/>
  </r>
  <r>
    <s v="CUST004"/>
    <s v="James Davis"/>
    <x v="1"/>
    <x v="4"/>
    <n v="1311.26"/>
    <n v="6"/>
    <n v="0.1"/>
    <s v="2025-02-10"/>
    <n v="531.05999999999995"/>
    <d v="2026-10-28T10:45:37"/>
  </r>
  <r>
    <s v="CUST004"/>
    <s v="Mary Davis"/>
    <x v="2"/>
    <x v="4"/>
    <n v="573.32000000000005"/>
    <n v="19"/>
    <n v="0.1"/>
    <s v="2025-02-15"/>
    <n v="232.19"/>
    <d v="2026-10-28T10:45:37"/>
  </r>
  <r>
    <s v="CUST028"/>
    <s v="James Wilson"/>
    <x v="0"/>
    <x v="2"/>
    <n v="1115.22"/>
    <n v="14"/>
    <n v="0.2"/>
    <s v="2025-02-17"/>
    <n v="223.04"/>
    <d v="2026-10-28T10:45:37"/>
  </r>
  <r>
    <s v="CUST012"/>
    <s v="Lisa Thomas"/>
    <x v="3"/>
    <x v="1"/>
    <n v="845.84"/>
    <n v="4"/>
    <n v="0"/>
    <s v="2025-02-19"/>
    <n v="422.92"/>
    <d v="2026-10-28T10:45:37"/>
  </r>
  <r>
    <s v="CUST026"/>
    <s v="David Brown"/>
    <x v="0"/>
    <x v="2"/>
    <n v="1029.8"/>
    <n v="3"/>
    <n v="0"/>
    <s v="2025-02-20"/>
    <n v="257.45"/>
    <d v="2026-10-28T10:45:37"/>
  </r>
  <r>
    <s v="CUST009"/>
    <s v="Mary Davis"/>
    <x v="3"/>
    <x v="0"/>
    <n v="1189.83"/>
    <n v="2"/>
    <n v="0.2"/>
    <s v="2025-02-21"/>
    <n v="380.75"/>
    <d v="2026-10-28T10:45:37"/>
  </r>
  <r>
    <s v="CUST003"/>
    <s v="Sarah Anderson"/>
    <x v="2"/>
    <x v="0"/>
    <n v="704.28"/>
    <n v="15"/>
    <n v="0.2"/>
    <s v="2025-02-24"/>
    <n v="225.37"/>
    <d v="2026-10-28T10:45:37"/>
  </r>
  <r>
    <s v="CUST002"/>
    <s v="Mary Jackson"/>
    <x v="4"/>
    <x v="4"/>
    <n v="1618.22"/>
    <n v="12"/>
    <n v="0.2"/>
    <s v="2025-02-24"/>
    <n v="582.55999999999995"/>
    <d v="2026-10-28T10:45:37"/>
  </r>
  <r>
    <s v="CUST013"/>
    <s v="Linda Taylor"/>
    <x v="4"/>
    <x v="0"/>
    <n v="1014.43"/>
    <n v="2"/>
    <n v="0.15"/>
    <s v="2025-02-25"/>
    <n v="344.91"/>
    <d v="2026-10-28T10:45:37"/>
  </r>
  <r>
    <s v="CUST018"/>
    <s v="Mary Davis"/>
    <x v="4"/>
    <x v="1"/>
    <n v="826.97"/>
    <n v="18"/>
    <n v="0.2"/>
    <s v="2025-02-27"/>
    <n v="330.79"/>
    <d v="2026-10-28T10:45:37"/>
  </r>
  <r>
    <s v="CUST017"/>
    <s v="Mary Davis"/>
    <x v="4"/>
    <x v="1"/>
    <n v="1022.23"/>
    <n v="8"/>
    <n v="0.1"/>
    <s v="2025-03-01"/>
    <n v="460"/>
    <d v="2026-10-28T10:45:37"/>
  </r>
  <r>
    <s v="CUST004"/>
    <s v="Linda Wilson"/>
    <x v="1"/>
    <x v="0"/>
    <n v="1099.69"/>
    <n v="6"/>
    <n v="0"/>
    <s v="2025-03-02"/>
    <n v="439.88"/>
    <d v="2026-10-28T10:45:37"/>
  </r>
  <r>
    <s v="CUST028"/>
    <s v="Sarah Davis"/>
    <x v="3"/>
    <x v="0"/>
    <n v="710.52"/>
    <n v="8"/>
    <n v="0.1"/>
    <s v="2025-03-05"/>
    <n v="255.79"/>
    <d v="2026-10-28T10:45:37"/>
  </r>
  <r>
    <s v="CUST028"/>
    <s v="Mary Wilson"/>
    <x v="3"/>
    <x v="0"/>
    <n v="499.18"/>
    <n v="15"/>
    <n v="0.2"/>
    <s v="2025-03-08"/>
    <n v="159.74"/>
    <d v="2026-10-28T10:45:37"/>
  </r>
  <r>
    <s v="CUST014"/>
    <s v="Emma Davis"/>
    <x v="2"/>
    <x v="0"/>
    <n v="1064.19"/>
    <n v="18"/>
    <n v="0.05"/>
    <s v="2025-03-09"/>
    <n v="404.39"/>
    <d v="2026-10-28T10:45:37"/>
  </r>
  <r>
    <s v="CUST003"/>
    <s v="Emma Davis"/>
    <x v="1"/>
    <x v="4"/>
    <n v="438.76"/>
    <n v="18"/>
    <n v="0.05"/>
    <s v="2025-03-10"/>
    <n v="187.57"/>
    <d v="2026-10-28T10:45:37"/>
  </r>
  <r>
    <s v="CUST029"/>
    <s v="David Brown"/>
    <x v="0"/>
    <x v="1"/>
    <n v="864.98"/>
    <n v="2"/>
    <n v="0.05"/>
    <s v="2025-03-11"/>
    <n v="410.87"/>
    <d v="2026-10-28T10:45:37"/>
  </r>
  <r>
    <s v="CUST021"/>
    <s v="David Brown"/>
    <x v="0"/>
    <x v="3"/>
    <n v="984.93"/>
    <n v="14"/>
    <n v="0.2"/>
    <s v="2025-03-17"/>
    <n v="275.77999999999997"/>
    <d v="2026-10-28T10:45:37"/>
  </r>
  <r>
    <s v="CUST007"/>
    <s v="David Brown"/>
    <x v="0"/>
    <x v="1"/>
    <n v="1493.49"/>
    <n v="18"/>
    <n v="0"/>
    <s v="2025-03-18"/>
    <n v="746.74"/>
    <d v="2026-10-28T10:45:37"/>
  </r>
  <r>
    <s v="CUST009"/>
    <s v="Linda Taylor"/>
    <x v="2"/>
    <x v="1"/>
    <n v="689.43"/>
    <n v="9"/>
    <n v="0.1"/>
    <s v="2025-03-20"/>
    <n v="310.24"/>
    <d v="2026-10-28T10:45:37"/>
  </r>
  <r>
    <s v="CUST023"/>
    <s v="Mary Wilson"/>
    <x v="2"/>
    <x v="1"/>
    <n v="682.24"/>
    <n v="1"/>
    <n v="0"/>
    <s v="2025-03-22"/>
    <n v="341.12"/>
    <d v="2026-10-28T10:45:37"/>
  </r>
  <r>
    <s v="CUST029"/>
    <s v="Michael Anderson"/>
    <x v="3"/>
    <x v="2"/>
    <n v="458.54"/>
    <n v="15"/>
    <n v="0.2"/>
    <s v="2025-03-25"/>
    <n v="91.71"/>
    <d v="2026-10-28T10:45:37"/>
  </r>
  <r>
    <s v="CUST009"/>
    <s v="Michael Anderson"/>
    <x v="2"/>
    <x v="3"/>
    <n v="1184.25"/>
    <n v="11"/>
    <n v="0.2"/>
    <s v="2025-03-26"/>
    <n v="331.59"/>
    <d v="2026-10-28T10:45:37"/>
  </r>
  <r>
    <s v="CUST007"/>
    <s v="James Davis"/>
    <x v="2"/>
    <x v="1"/>
    <n v="762.14"/>
    <n v="9"/>
    <n v="0"/>
    <s v="2025-03-27"/>
    <n v="381.07"/>
    <d v="2026-10-28T10:45:37"/>
  </r>
  <r>
    <s v="CUST030"/>
    <s v="Linda Taylor"/>
    <x v="3"/>
    <x v="0"/>
    <n v="750.71"/>
    <n v="10"/>
    <n v="0.15"/>
    <s v="2025-03-27"/>
    <n v="255.24"/>
    <d v="2026-10-28T10:45:37"/>
  </r>
  <r>
    <s v="CUST018"/>
    <s v="David Anderson"/>
    <x v="4"/>
    <x v="1"/>
    <n v="1456.94"/>
    <n v="14"/>
    <n v="0.05"/>
    <s v="2025-03-29"/>
    <n v="692.05"/>
    <d v="2026-10-28T10:45:37"/>
  </r>
  <r>
    <s v="CUST008"/>
    <s v="Emma Wilson"/>
    <x v="1"/>
    <x v="3"/>
    <n v="1093.3800000000001"/>
    <n v="17"/>
    <n v="0.1"/>
    <s v="2025-03-29"/>
    <n v="344.41"/>
    <d v="2026-10-28T10:45:37"/>
  </r>
  <r>
    <s v="CUST014"/>
    <s v="Sarah Anderson"/>
    <x v="0"/>
    <x v="1"/>
    <n v="934.27"/>
    <n v="8"/>
    <n v="0.15"/>
    <s v="2025-03-30"/>
    <n v="397.06"/>
    <d v="2026-10-28T10:45:37"/>
  </r>
  <r>
    <s v="CUST024"/>
    <s v="David Thomas"/>
    <x v="4"/>
    <x v="1"/>
    <n v="1465.35"/>
    <n v="8"/>
    <n v="0.2"/>
    <s v="2025-03-30"/>
    <n v="586.14"/>
    <d v="2026-10-28T10:45:37"/>
  </r>
  <r>
    <s v="CUST028"/>
    <s v="Robert Anderson"/>
    <x v="2"/>
    <x v="4"/>
    <n v="740.8"/>
    <n v="3"/>
    <n v="0"/>
    <s v="2025-04-02"/>
    <n v="333.36"/>
    <d v="2026-10-28T10:45:37"/>
  </r>
  <r>
    <s v="CUST015"/>
    <s v="Sarah Anderson"/>
    <x v="0"/>
    <x v="4"/>
    <n v="545.44000000000005"/>
    <n v="17"/>
    <n v="0"/>
    <s v="2025-04-05"/>
    <n v="245.45"/>
    <d v="2026-10-28T10:45:37"/>
  </r>
  <r>
    <s v="CUST010"/>
    <s v="David Thomas"/>
    <x v="1"/>
    <x v="0"/>
    <n v="997.61"/>
    <n v="8"/>
    <n v="0.05"/>
    <s v="2025-04-05"/>
    <n v="379.09"/>
    <d v="2026-10-28T10:45:37"/>
  </r>
  <r>
    <s v="CUST016"/>
    <s v="David Thomas"/>
    <x v="2"/>
    <x v="1"/>
    <n v="928.32"/>
    <n v="2"/>
    <n v="0.05"/>
    <s v="2025-04-07"/>
    <n v="440.95"/>
    <d v="2026-10-28T10:45: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FE438-A0E6-471A-B1D4-DDE961C411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H12" firstHeaderRow="1" firstDataRow="2" firstDataCol="1"/>
  <pivotFields count="10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numFmtId="164" showAll="0"/>
    <pivotField numFmtId="3" showAll="0"/>
    <pivotField numFmtId="165" showAll="0"/>
    <pivotField showAll="0"/>
    <pivotField numFmtId="164" showAll="0"/>
    <pivotField numFmtId="166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2" baseItem="0" numFmtId="164"/>
  </dataFields>
  <formats count="11"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3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Col="1" outline="0" fieldPosition="0"/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"/>
  <sheetViews>
    <sheetView workbookViewId="0">
      <selection activeCell="C5" sqref="C5"/>
    </sheetView>
  </sheetViews>
  <sheetFormatPr defaultRowHeight="14.5" x14ac:dyDescent="0.35"/>
  <cols>
    <col min="1" max="1" width="3" customWidth="1"/>
    <col min="2" max="2" width="12" customWidth="1"/>
    <col min="3" max="3" width="48" customWidth="1"/>
    <col min="4" max="4" width="28" customWidth="1"/>
    <col min="5" max="5" width="52" customWidth="1"/>
  </cols>
  <sheetData>
    <row r="2" spans="2:5" ht="22.5" x14ac:dyDescent="0.6">
      <c r="B2" s="1" t="s">
        <v>0</v>
      </c>
    </row>
    <row r="3" spans="2:5" ht="16.5" x14ac:dyDescent="0.45">
      <c r="B3" s="2" t="s">
        <v>1</v>
      </c>
    </row>
    <row r="5" spans="2:5" ht="25" customHeight="1" x14ac:dyDescent="0.35">
      <c r="B5" s="3" t="s">
        <v>2</v>
      </c>
      <c r="C5" s="3" t="s">
        <v>3</v>
      </c>
      <c r="D5" s="3" t="s">
        <v>4</v>
      </c>
      <c r="E5" s="3" t="s">
        <v>5</v>
      </c>
    </row>
    <row r="6" spans="2:5" ht="22" customHeight="1" x14ac:dyDescent="0.35">
      <c r="B6" s="4" t="s">
        <v>6</v>
      </c>
      <c r="C6" s="5" t="s">
        <v>7</v>
      </c>
      <c r="D6" s="6" t="s">
        <v>8</v>
      </c>
      <c r="E6" s="5" t="s">
        <v>9</v>
      </c>
    </row>
    <row r="7" spans="2:5" ht="22" customHeight="1" x14ac:dyDescent="0.35">
      <c r="B7" s="7" t="s">
        <v>10</v>
      </c>
      <c r="C7" s="8" t="s">
        <v>11</v>
      </c>
      <c r="D7" s="9" t="s">
        <v>12</v>
      </c>
      <c r="E7" s="8" t="s">
        <v>13</v>
      </c>
    </row>
    <row r="8" spans="2:5" ht="22" customHeight="1" x14ac:dyDescent="0.35">
      <c r="B8" s="4" t="s">
        <v>14</v>
      </c>
      <c r="C8" s="5" t="s">
        <v>15</v>
      </c>
      <c r="D8" s="6" t="s">
        <v>16</v>
      </c>
      <c r="E8" s="5" t="s">
        <v>17</v>
      </c>
    </row>
    <row r="9" spans="2:5" ht="22" customHeight="1" x14ac:dyDescent="0.35">
      <c r="B9" s="7" t="s">
        <v>18</v>
      </c>
      <c r="C9" s="8" t="s">
        <v>19</v>
      </c>
      <c r="D9" s="9" t="s">
        <v>20</v>
      </c>
      <c r="E9" s="8" t="s">
        <v>21</v>
      </c>
    </row>
    <row r="10" spans="2:5" ht="22" customHeight="1" x14ac:dyDescent="0.35">
      <c r="B10" s="4" t="s">
        <v>22</v>
      </c>
      <c r="C10" s="5" t="s">
        <v>23</v>
      </c>
      <c r="D10" s="6" t="s">
        <v>24</v>
      </c>
      <c r="E10" s="5" t="s">
        <v>25</v>
      </c>
    </row>
    <row r="11" spans="2:5" ht="22" customHeight="1" x14ac:dyDescent="0.35">
      <c r="B11" s="7" t="s">
        <v>26</v>
      </c>
      <c r="C11" s="8" t="s">
        <v>27</v>
      </c>
      <c r="D11" s="9" t="s">
        <v>28</v>
      </c>
      <c r="E11" s="8" t="s">
        <v>29</v>
      </c>
    </row>
    <row r="12" spans="2:5" ht="22" customHeight="1" x14ac:dyDescent="0.35">
      <c r="B12" s="4" t="s">
        <v>30</v>
      </c>
      <c r="C12" s="5" t="s">
        <v>31</v>
      </c>
      <c r="D12" s="6" t="s">
        <v>8</v>
      </c>
      <c r="E12" s="5" t="s">
        <v>32</v>
      </c>
    </row>
    <row r="13" spans="2:5" ht="22" customHeight="1" x14ac:dyDescent="0.35">
      <c r="B13" s="7" t="s">
        <v>33</v>
      </c>
      <c r="C13" s="8" t="s">
        <v>34</v>
      </c>
      <c r="D13" s="9" t="s">
        <v>35</v>
      </c>
      <c r="E13" s="8" t="s">
        <v>36</v>
      </c>
    </row>
    <row r="14" spans="2:5" ht="22" customHeight="1" x14ac:dyDescent="0.35">
      <c r="B14" s="4" t="s">
        <v>37</v>
      </c>
      <c r="C14" s="5" t="s">
        <v>38</v>
      </c>
      <c r="D14" s="6" t="s">
        <v>39</v>
      </c>
      <c r="E14" s="5" t="s">
        <v>40</v>
      </c>
    </row>
    <row r="15" spans="2:5" ht="22" customHeight="1" x14ac:dyDescent="0.35">
      <c r="B15" s="7" t="s">
        <v>41</v>
      </c>
      <c r="C15" s="8" t="s">
        <v>42</v>
      </c>
      <c r="D15" s="9" t="s">
        <v>39</v>
      </c>
      <c r="E15" s="8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14" customWidth="1"/>
    <col min="2" max="2" width="19" customWidth="1"/>
    <col min="3" max="3" width="14" customWidth="1"/>
    <col min="4" max="4" width="19" customWidth="1"/>
    <col min="5" max="9" width="14" customWidth="1"/>
    <col min="10" max="10" width="22" customWidth="1"/>
  </cols>
  <sheetData>
    <row r="1" spans="1:10" ht="25" customHeight="1" x14ac:dyDescent="0.35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</row>
    <row r="2" spans="1:10" ht="20" customHeight="1" x14ac:dyDescent="0.45">
      <c r="A2" s="10" t="s">
        <v>54</v>
      </c>
      <c r="B2" s="11" t="s">
        <v>55</v>
      </c>
      <c r="C2" s="10" t="s">
        <v>56</v>
      </c>
      <c r="D2" s="11" t="s">
        <v>57</v>
      </c>
      <c r="E2" s="12">
        <v>1036.0899999999999</v>
      </c>
      <c r="F2" s="13">
        <v>4</v>
      </c>
      <c r="G2" s="14">
        <v>0.2</v>
      </c>
      <c r="H2" s="10" t="s">
        <v>58</v>
      </c>
      <c r="I2" s="12">
        <v>331.55</v>
      </c>
      <c r="J2" s="15">
        <f t="shared" ref="J2:J33" ca="1" si="0">NOW()</f>
        <v>46323.475415162036</v>
      </c>
    </row>
    <row r="3" spans="1:10" ht="20" customHeight="1" x14ac:dyDescent="0.45">
      <c r="A3" s="16" t="s">
        <v>59</v>
      </c>
      <c r="B3" s="17" t="s">
        <v>60</v>
      </c>
      <c r="C3" s="16" t="s">
        <v>56</v>
      </c>
      <c r="D3" s="17" t="s">
        <v>61</v>
      </c>
      <c r="E3" s="18">
        <v>1101.28</v>
      </c>
      <c r="F3" s="19">
        <v>3</v>
      </c>
      <c r="G3" s="20">
        <v>0.2</v>
      </c>
      <c r="H3" s="16" t="s">
        <v>62</v>
      </c>
      <c r="I3" s="18">
        <v>440.51</v>
      </c>
      <c r="J3" s="21">
        <f t="shared" ca="1" si="0"/>
        <v>46323.475415162036</v>
      </c>
    </row>
    <row r="4" spans="1:10" ht="20" customHeight="1" x14ac:dyDescent="0.45">
      <c r="A4" s="10" t="s">
        <v>63</v>
      </c>
      <c r="B4" s="11" t="s">
        <v>64</v>
      </c>
      <c r="C4" s="10" t="s">
        <v>65</v>
      </c>
      <c r="D4" s="11" t="s">
        <v>57</v>
      </c>
      <c r="E4" s="12">
        <v>713.34</v>
      </c>
      <c r="F4" s="13">
        <v>17</v>
      </c>
      <c r="G4" s="14">
        <v>0</v>
      </c>
      <c r="H4" s="10" t="s">
        <v>66</v>
      </c>
      <c r="I4" s="12">
        <v>285.33999999999997</v>
      </c>
      <c r="J4" s="15">
        <f t="shared" ca="1" si="0"/>
        <v>46323.475415162036</v>
      </c>
    </row>
    <row r="5" spans="1:10" ht="20" customHeight="1" x14ac:dyDescent="0.45">
      <c r="A5" s="16" t="s">
        <v>67</v>
      </c>
      <c r="B5" s="17" t="s">
        <v>60</v>
      </c>
      <c r="C5" s="16" t="s">
        <v>68</v>
      </c>
      <c r="D5" s="17" t="s">
        <v>69</v>
      </c>
      <c r="E5" s="18">
        <v>760.93</v>
      </c>
      <c r="F5" s="19">
        <v>4</v>
      </c>
      <c r="G5" s="20">
        <v>0.15</v>
      </c>
      <c r="H5" s="16" t="s">
        <v>66</v>
      </c>
      <c r="I5" s="18">
        <v>161.69999999999999</v>
      </c>
      <c r="J5" s="21">
        <f t="shared" ca="1" si="0"/>
        <v>46323.475415162036</v>
      </c>
    </row>
    <row r="6" spans="1:10" ht="20" customHeight="1" x14ac:dyDescent="0.45">
      <c r="A6" s="10" t="s">
        <v>70</v>
      </c>
      <c r="B6" s="11" t="s">
        <v>71</v>
      </c>
      <c r="C6" s="10" t="s">
        <v>72</v>
      </c>
      <c r="D6" s="11" t="s">
        <v>57</v>
      </c>
      <c r="E6" s="12">
        <v>847</v>
      </c>
      <c r="F6" s="13">
        <v>12</v>
      </c>
      <c r="G6" s="14">
        <v>0.2</v>
      </c>
      <c r="H6" s="10" t="s">
        <v>73</v>
      </c>
      <c r="I6" s="12">
        <v>271.04000000000002</v>
      </c>
      <c r="J6" s="15">
        <f t="shared" ca="1" si="0"/>
        <v>46323.475415162036</v>
      </c>
    </row>
    <row r="7" spans="1:10" ht="20" customHeight="1" x14ac:dyDescent="0.45">
      <c r="A7" s="16" t="s">
        <v>74</v>
      </c>
      <c r="B7" s="17" t="s">
        <v>75</v>
      </c>
      <c r="C7" s="16" t="s">
        <v>72</v>
      </c>
      <c r="D7" s="17" t="s">
        <v>76</v>
      </c>
      <c r="E7" s="18">
        <v>965.64</v>
      </c>
      <c r="F7" s="19">
        <v>8</v>
      </c>
      <c r="G7" s="20">
        <v>0.1</v>
      </c>
      <c r="H7" s="16" t="s">
        <v>77</v>
      </c>
      <c r="I7" s="18">
        <v>304.18</v>
      </c>
      <c r="J7" s="21">
        <f t="shared" ca="1" si="0"/>
        <v>46323.475415162036</v>
      </c>
    </row>
    <row r="8" spans="1:10" ht="20" customHeight="1" x14ac:dyDescent="0.45">
      <c r="A8" s="10" t="s">
        <v>78</v>
      </c>
      <c r="B8" s="11" t="s">
        <v>79</v>
      </c>
      <c r="C8" s="10" t="s">
        <v>56</v>
      </c>
      <c r="D8" s="11" t="s">
        <v>69</v>
      </c>
      <c r="E8" s="12">
        <v>1317.53</v>
      </c>
      <c r="F8" s="13">
        <v>12</v>
      </c>
      <c r="G8" s="14">
        <v>0.05</v>
      </c>
      <c r="H8" s="10" t="s">
        <v>77</v>
      </c>
      <c r="I8" s="12">
        <v>312.91000000000003</v>
      </c>
      <c r="J8" s="15">
        <f t="shared" ca="1" si="0"/>
        <v>46323.475415162036</v>
      </c>
    </row>
    <row r="9" spans="1:10" ht="20" customHeight="1" x14ac:dyDescent="0.45">
      <c r="A9" s="16" t="s">
        <v>80</v>
      </c>
      <c r="B9" s="17" t="s">
        <v>81</v>
      </c>
      <c r="C9" s="16" t="s">
        <v>65</v>
      </c>
      <c r="D9" s="17" t="s">
        <v>76</v>
      </c>
      <c r="E9" s="18">
        <v>1074.47</v>
      </c>
      <c r="F9" s="19">
        <v>6</v>
      </c>
      <c r="G9" s="20">
        <v>0.2</v>
      </c>
      <c r="H9" s="16" t="s">
        <v>82</v>
      </c>
      <c r="I9" s="18">
        <v>300.85000000000002</v>
      </c>
      <c r="J9" s="21">
        <f t="shared" ca="1" si="0"/>
        <v>46323.475415162036</v>
      </c>
    </row>
    <row r="10" spans="1:10" ht="20" customHeight="1" x14ac:dyDescent="0.45">
      <c r="A10" s="10" t="s">
        <v>83</v>
      </c>
      <c r="B10" s="11" t="s">
        <v>84</v>
      </c>
      <c r="C10" s="10" t="s">
        <v>85</v>
      </c>
      <c r="D10" s="11" t="s">
        <v>57</v>
      </c>
      <c r="E10" s="12">
        <v>501.54</v>
      </c>
      <c r="F10" s="13">
        <v>11</v>
      </c>
      <c r="G10" s="14">
        <v>0.05</v>
      </c>
      <c r="H10" s="10" t="s">
        <v>82</v>
      </c>
      <c r="I10" s="12">
        <v>190.59</v>
      </c>
      <c r="J10" s="15">
        <f t="shared" ca="1" si="0"/>
        <v>46323.475415162036</v>
      </c>
    </row>
    <row r="11" spans="1:10" ht="20" customHeight="1" x14ac:dyDescent="0.45">
      <c r="A11" s="16" t="s">
        <v>86</v>
      </c>
      <c r="B11" s="17" t="s">
        <v>87</v>
      </c>
      <c r="C11" s="16" t="s">
        <v>85</v>
      </c>
      <c r="D11" s="17" t="s">
        <v>61</v>
      </c>
      <c r="E11" s="18">
        <v>737.31</v>
      </c>
      <c r="F11" s="19">
        <v>2</v>
      </c>
      <c r="G11" s="20">
        <v>0.05</v>
      </c>
      <c r="H11" s="16" t="s">
        <v>82</v>
      </c>
      <c r="I11" s="18">
        <v>350.22</v>
      </c>
      <c r="J11" s="21">
        <f t="shared" ca="1" si="0"/>
        <v>46323.475415162036</v>
      </c>
    </row>
    <row r="12" spans="1:10" ht="20" customHeight="1" x14ac:dyDescent="0.45">
      <c r="A12" s="10" t="s">
        <v>88</v>
      </c>
      <c r="B12" s="11" t="s">
        <v>89</v>
      </c>
      <c r="C12" s="10" t="s">
        <v>56</v>
      </c>
      <c r="D12" s="11" t="s">
        <v>90</v>
      </c>
      <c r="E12" s="12">
        <v>1572.82</v>
      </c>
      <c r="F12" s="13">
        <v>6</v>
      </c>
      <c r="G12" s="14">
        <v>0.05</v>
      </c>
      <c r="H12" s="10" t="s">
        <v>91</v>
      </c>
      <c r="I12" s="12">
        <v>672.38</v>
      </c>
      <c r="J12" s="15">
        <f t="shared" ca="1" si="0"/>
        <v>46323.475415162036</v>
      </c>
    </row>
    <row r="13" spans="1:10" ht="20" customHeight="1" x14ac:dyDescent="0.45">
      <c r="A13" s="16" t="s">
        <v>88</v>
      </c>
      <c r="B13" s="17" t="s">
        <v>87</v>
      </c>
      <c r="C13" s="16" t="s">
        <v>85</v>
      </c>
      <c r="D13" s="17" t="s">
        <v>57</v>
      </c>
      <c r="E13" s="18">
        <v>1343.13</v>
      </c>
      <c r="F13" s="19">
        <v>14</v>
      </c>
      <c r="G13" s="20">
        <v>0.15</v>
      </c>
      <c r="H13" s="16" t="s">
        <v>92</v>
      </c>
      <c r="I13" s="18">
        <v>456.66</v>
      </c>
      <c r="J13" s="21">
        <f t="shared" ca="1" si="0"/>
        <v>46323.475415162036</v>
      </c>
    </row>
    <row r="14" spans="1:10" ht="20" customHeight="1" x14ac:dyDescent="0.45">
      <c r="A14" s="10" t="s">
        <v>74</v>
      </c>
      <c r="B14" s="11" t="s">
        <v>75</v>
      </c>
      <c r="C14" s="10" t="s">
        <v>85</v>
      </c>
      <c r="D14" s="11" t="s">
        <v>57</v>
      </c>
      <c r="E14" s="12">
        <v>1191.58</v>
      </c>
      <c r="F14" s="13">
        <v>14</v>
      </c>
      <c r="G14" s="14">
        <v>0.05</v>
      </c>
      <c r="H14" s="10" t="s">
        <v>93</v>
      </c>
      <c r="I14" s="12">
        <v>452.8</v>
      </c>
      <c r="J14" s="15">
        <f t="shared" ca="1" si="0"/>
        <v>46323.475415162036</v>
      </c>
    </row>
    <row r="15" spans="1:10" ht="20" customHeight="1" x14ac:dyDescent="0.45">
      <c r="A15" s="16" t="s">
        <v>94</v>
      </c>
      <c r="B15" s="17" t="s">
        <v>60</v>
      </c>
      <c r="C15" s="16" t="s">
        <v>56</v>
      </c>
      <c r="D15" s="17" t="s">
        <v>76</v>
      </c>
      <c r="E15" s="18">
        <v>822.28</v>
      </c>
      <c r="F15" s="19">
        <v>7</v>
      </c>
      <c r="G15" s="20">
        <v>0.05</v>
      </c>
      <c r="H15" s="16" t="s">
        <v>93</v>
      </c>
      <c r="I15" s="18">
        <v>273.41000000000003</v>
      </c>
      <c r="J15" s="21">
        <f t="shared" ca="1" si="0"/>
        <v>46323.475415162036</v>
      </c>
    </row>
    <row r="16" spans="1:10" ht="20" customHeight="1" x14ac:dyDescent="0.45">
      <c r="A16" s="10" t="s">
        <v>95</v>
      </c>
      <c r="B16" s="11" t="s">
        <v>96</v>
      </c>
      <c r="C16" s="10" t="s">
        <v>72</v>
      </c>
      <c r="D16" s="11" t="s">
        <v>76</v>
      </c>
      <c r="E16" s="12">
        <v>521.66999999999996</v>
      </c>
      <c r="F16" s="13">
        <v>15</v>
      </c>
      <c r="G16" s="14">
        <v>0.15</v>
      </c>
      <c r="H16" s="10" t="s">
        <v>97</v>
      </c>
      <c r="I16" s="12">
        <v>155.19999999999999</v>
      </c>
      <c r="J16" s="15">
        <f t="shared" ca="1" si="0"/>
        <v>46323.475415162036</v>
      </c>
    </row>
    <row r="17" spans="1:10" ht="20" customHeight="1" x14ac:dyDescent="0.45">
      <c r="A17" s="16" t="s">
        <v>67</v>
      </c>
      <c r="B17" s="17" t="s">
        <v>98</v>
      </c>
      <c r="C17" s="16" t="s">
        <v>68</v>
      </c>
      <c r="D17" s="17" t="s">
        <v>69</v>
      </c>
      <c r="E17" s="18">
        <v>1502.93</v>
      </c>
      <c r="F17" s="19">
        <v>14</v>
      </c>
      <c r="G17" s="20">
        <v>0.2</v>
      </c>
      <c r="H17" s="16" t="s">
        <v>99</v>
      </c>
      <c r="I17" s="18">
        <v>300.58999999999997</v>
      </c>
      <c r="J17" s="21">
        <f t="shared" ca="1" si="0"/>
        <v>46323.475415162036</v>
      </c>
    </row>
    <row r="18" spans="1:10" ht="20" customHeight="1" x14ac:dyDescent="0.45">
      <c r="A18" s="10" t="s">
        <v>100</v>
      </c>
      <c r="B18" s="11" t="s">
        <v>60</v>
      </c>
      <c r="C18" s="10" t="s">
        <v>68</v>
      </c>
      <c r="D18" s="11" t="s">
        <v>57</v>
      </c>
      <c r="E18" s="12">
        <v>877.58</v>
      </c>
      <c r="F18" s="13">
        <v>10</v>
      </c>
      <c r="G18" s="14">
        <v>0.15</v>
      </c>
      <c r="H18" s="10" t="s">
        <v>101</v>
      </c>
      <c r="I18" s="12">
        <v>298.38</v>
      </c>
      <c r="J18" s="15">
        <f t="shared" ca="1" si="0"/>
        <v>46323.475415162036</v>
      </c>
    </row>
    <row r="19" spans="1:10" ht="20" customHeight="1" x14ac:dyDescent="0.45">
      <c r="A19" s="16" t="s">
        <v>78</v>
      </c>
      <c r="B19" s="17" t="s">
        <v>102</v>
      </c>
      <c r="C19" s="16" t="s">
        <v>56</v>
      </c>
      <c r="D19" s="17" t="s">
        <v>57</v>
      </c>
      <c r="E19" s="18">
        <v>636.70000000000005</v>
      </c>
      <c r="F19" s="19">
        <v>4</v>
      </c>
      <c r="G19" s="20">
        <v>0.2</v>
      </c>
      <c r="H19" s="16" t="s">
        <v>101</v>
      </c>
      <c r="I19" s="18">
        <v>203.74</v>
      </c>
      <c r="J19" s="21">
        <f t="shared" ca="1" si="0"/>
        <v>46323.475415162036</v>
      </c>
    </row>
    <row r="20" spans="1:10" ht="20" customHeight="1" x14ac:dyDescent="0.45">
      <c r="A20" s="10" t="s">
        <v>103</v>
      </c>
      <c r="B20" s="11" t="s">
        <v>104</v>
      </c>
      <c r="C20" s="10" t="s">
        <v>56</v>
      </c>
      <c r="D20" s="11" t="s">
        <v>57</v>
      </c>
      <c r="E20" s="12">
        <v>1506.14</v>
      </c>
      <c r="F20" s="13">
        <v>13</v>
      </c>
      <c r="G20" s="14">
        <v>0.2</v>
      </c>
      <c r="H20" s="10" t="s">
        <v>105</v>
      </c>
      <c r="I20" s="12">
        <v>481.96</v>
      </c>
      <c r="J20" s="15">
        <f t="shared" ca="1" si="0"/>
        <v>46323.475415162036</v>
      </c>
    </row>
    <row r="21" spans="1:10" ht="20" customHeight="1" x14ac:dyDescent="0.45">
      <c r="A21" s="16" t="s">
        <v>80</v>
      </c>
      <c r="B21" s="17" t="s">
        <v>81</v>
      </c>
      <c r="C21" s="16" t="s">
        <v>85</v>
      </c>
      <c r="D21" s="17" t="s">
        <v>69</v>
      </c>
      <c r="E21" s="18">
        <v>645.02</v>
      </c>
      <c r="F21" s="19">
        <v>4</v>
      </c>
      <c r="G21" s="20">
        <v>0</v>
      </c>
      <c r="H21" s="16" t="s">
        <v>106</v>
      </c>
      <c r="I21" s="18">
        <v>161.26</v>
      </c>
      <c r="J21" s="21">
        <f t="shared" ca="1" si="0"/>
        <v>46323.475415162036</v>
      </c>
    </row>
    <row r="22" spans="1:10" ht="20" customHeight="1" x14ac:dyDescent="0.45">
      <c r="A22" s="10" t="s">
        <v>74</v>
      </c>
      <c r="B22" s="11" t="s">
        <v>107</v>
      </c>
      <c r="C22" s="10" t="s">
        <v>68</v>
      </c>
      <c r="D22" s="11" t="s">
        <v>61</v>
      </c>
      <c r="E22" s="12">
        <v>953.3</v>
      </c>
      <c r="F22" s="13">
        <v>11</v>
      </c>
      <c r="G22" s="14">
        <v>0</v>
      </c>
      <c r="H22" s="10" t="s">
        <v>108</v>
      </c>
      <c r="I22" s="12">
        <v>476.65</v>
      </c>
      <c r="J22" s="15">
        <f t="shared" ca="1" si="0"/>
        <v>46323.475415162036</v>
      </c>
    </row>
    <row r="23" spans="1:10" ht="20" customHeight="1" x14ac:dyDescent="0.45">
      <c r="A23" s="16" t="s">
        <v>109</v>
      </c>
      <c r="B23" s="17" t="s">
        <v>60</v>
      </c>
      <c r="C23" s="16" t="s">
        <v>72</v>
      </c>
      <c r="D23" s="17" t="s">
        <v>69</v>
      </c>
      <c r="E23" s="18">
        <v>388.56</v>
      </c>
      <c r="F23" s="19">
        <v>14</v>
      </c>
      <c r="G23" s="20">
        <v>0.15</v>
      </c>
      <c r="H23" s="16" t="s">
        <v>110</v>
      </c>
      <c r="I23" s="18">
        <v>82.57</v>
      </c>
      <c r="J23" s="21">
        <f t="shared" ca="1" si="0"/>
        <v>46323.475415162036</v>
      </c>
    </row>
    <row r="24" spans="1:10" ht="20" customHeight="1" x14ac:dyDescent="0.45">
      <c r="A24" s="10" t="s">
        <v>54</v>
      </c>
      <c r="B24" s="11" t="s">
        <v>81</v>
      </c>
      <c r="C24" s="10" t="s">
        <v>56</v>
      </c>
      <c r="D24" s="11" t="s">
        <v>57</v>
      </c>
      <c r="E24" s="12">
        <v>743.17</v>
      </c>
      <c r="F24" s="13">
        <v>9</v>
      </c>
      <c r="G24" s="14">
        <v>0</v>
      </c>
      <c r="H24" s="10" t="s">
        <v>110</v>
      </c>
      <c r="I24" s="12">
        <v>297.27</v>
      </c>
      <c r="J24" s="15">
        <f t="shared" ca="1" si="0"/>
        <v>46323.475415162036</v>
      </c>
    </row>
    <row r="25" spans="1:10" ht="20" customHeight="1" x14ac:dyDescent="0.45">
      <c r="A25" s="16" t="s">
        <v>94</v>
      </c>
      <c r="B25" s="17" t="s">
        <v>81</v>
      </c>
      <c r="C25" s="16" t="s">
        <v>85</v>
      </c>
      <c r="D25" s="17" t="s">
        <v>69</v>
      </c>
      <c r="E25" s="18">
        <v>706.37</v>
      </c>
      <c r="F25" s="19">
        <v>6</v>
      </c>
      <c r="G25" s="20">
        <v>0</v>
      </c>
      <c r="H25" s="16" t="s">
        <v>110</v>
      </c>
      <c r="I25" s="18">
        <v>176.59</v>
      </c>
      <c r="J25" s="21">
        <f t="shared" ca="1" si="0"/>
        <v>46323.475415162036</v>
      </c>
    </row>
    <row r="26" spans="1:10" ht="20" customHeight="1" x14ac:dyDescent="0.45">
      <c r="A26" s="10" t="s">
        <v>59</v>
      </c>
      <c r="B26" s="11" t="s">
        <v>81</v>
      </c>
      <c r="C26" s="10" t="s">
        <v>85</v>
      </c>
      <c r="D26" s="11" t="s">
        <v>90</v>
      </c>
      <c r="E26" s="12">
        <v>925.31</v>
      </c>
      <c r="F26" s="13">
        <v>8</v>
      </c>
      <c r="G26" s="14">
        <v>0.1</v>
      </c>
      <c r="H26" s="10" t="s">
        <v>111</v>
      </c>
      <c r="I26" s="12">
        <v>374.75</v>
      </c>
      <c r="J26" s="15">
        <f t="shared" ca="1" si="0"/>
        <v>46323.475415162036</v>
      </c>
    </row>
    <row r="27" spans="1:10" ht="20" customHeight="1" x14ac:dyDescent="0.45">
      <c r="A27" s="16" t="s">
        <v>86</v>
      </c>
      <c r="B27" s="17" t="s">
        <v>112</v>
      </c>
      <c r="C27" s="16" t="s">
        <v>68</v>
      </c>
      <c r="D27" s="17" t="s">
        <v>69</v>
      </c>
      <c r="E27" s="18">
        <v>1173.1199999999999</v>
      </c>
      <c r="F27" s="19">
        <v>18</v>
      </c>
      <c r="G27" s="20">
        <v>0</v>
      </c>
      <c r="H27" s="16" t="s">
        <v>111</v>
      </c>
      <c r="I27" s="18">
        <v>293.27999999999997</v>
      </c>
      <c r="J27" s="21">
        <f t="shared" ca="1" si="0"/>
        <v>46323.475415162036</v>
      </c>
    </row>
    <row r="28" spans="1:10" ht="20" customHeight="1" x14ac:dyDescent="0.45">
      <c r="A28" s="10" t="s">
        <v>70</v>
      </c>
      <c r="B28" s="11" t="s">
        <v>113</v>
      </c>
      <c r="C28" s="10" t="s">
        <v>72</v>
      </c>
      <c r="D28" s="11" t="s">
        <v>76</v>
      </c>
      <c r="E28" s="12">
        <v>675.54</v>
      </c>
      <c r="F28" s="13">
        <v>17</v>
      </c>
      <c r="G28" s="14">
        <v>0</v>
      </c>
      <c r="H28" s="10" t="s">
        <v>114</v>
      </c>
      <c r="I28" s="12">
        <v>236.44</v>
      </c>
      <c r="J28" s="15">
        <f t="shared" ca="1" si="0"/>
        <v>46323.475415162036</v>
      </c>
    </row>
    <row r="29" spans="1:10" ht="20" customHeight="1" x14ac:dyDescent="0.45">
      <c r="A29" s="16" t="s">
        <v>74</v>
      </c>
      <c r="B29" s="17" t="s">
        <v>60</v>
      </c>
      <c r="C29" s="16" t="s">
        <v>85</v>
      </c>
      <c r="D29" s="17" t="s">
        <v>57</v>
      </c>
      <c r="E29" s="18">
        <v>939.09</v>
      </c>
      <c r="F29" s="19">
        <v>2</v>
      </c>
      <c r="G29" s="20">
        <v>0.05</v>
      </c>
      <c r="H29" s="16" t="s">
        <v>115</v>
      </c>
      <c r="I29" s="18">
        <v>356.85</v>
      </c>
      <c r="J29" s="21">
        <f t="shared" ca="1" si="0"/>
        <v>46323.475415162036</v>
      </c>
    </row>
    <row r="30" spans="1:10" ht="20" customHeight="1" x14ac:dyDescent="0.45">
      <c r="A30" s="10" t="s">
        <v>116</v>
      </c>
      <c r="B30" s="11" t="s">
        <v>117</v>
      </c>
      <c r="C30" s="10" t="s">
        <v>65</v>
      </c>
      <c r="D30" s="11" t="s">
        <v>90</v>
      </c>
      <c r="E30" s="12">
        <v>983.34</v>
      </c>
      <c r="F30" s="13">
        <v>19</v>
      </c>
      <c r="G30" s="14">
        <v>0.1</v>
      </c>
      <c r="H30" s="10" t="s">
        <v>118</v>
      </c>
      <c r="I30" s="12">
        <v>398.25</v>
      </c>
      <c r="J30" s="15">
        <f t="shared" ca="1" si="0"/>
        <v>46323.475415162036</v>
      </c>
    </row>
    <row r="31" spans="1:10" ht="20" customHeight="1" x14ac:dyDescent="0.45">
      <c r="A31" s="16" t="s">
        <v>116</v>
      </c>
      <c r="B31" s="17" t="s">
        <v>71</v>
      </c>
      <c r="C31" s="16" t="s">
        <v>68</v>
      </c>
      <c r="D31" s="17" t="s">
        <v>69</v>
      </c>
      <c r="E31" s="18">
        <v>801.21</v>
      </c>
      <c r="F31" s="19">
        <v>3</v>
      </c>
      <c r="G31" s="20">
        <v>0.2</v>
      </c>
      <c r="H31" s="16" t="s">
        <v>118</v>
      </c>
      <c r="I31" s="18">
        <v>160.24</v>
      </c>
      <c r="J31" s="21">
        <f t="shared" ca="1" si="0"/>
        <v>46323.475415162036</v>
      </c>
    </row>
    <row r="32" spans="1:10" ht="20" customHeight="1" x14ac:dyDescent="0.45">
      <c r="A32" s="10" t="s">
        <v>119</v>
      </c>
      <c r="B32" s="11" t="s">
        <v>120</v>
      </c>
      <c r="C32" s="10" t="s">
        <v>72</v>
      </c>
      <c r="D32" s="11" t="s">
        <v>69</v>
      </c>
      <c r="E32" s="12">
        <v>1450.71</v>
      </c>
      <c r="F32" s="13">
        <v>5</v>
      </c>
      <c r="G32" s="14">
        <v>0.1</v>
      </c>
      <c r="H32" s="10" t="s">
        <v>121</v>
      </c>
      <c r="I32" s="12">
        <v>326.41000000000003</v>
      </c>
      <c r="J32" s="15">
        <f t="shared" ca="1" si="0"/>
        <v>46323.475415162036</v>
      </c>
    </row>
    <row r="33" spans="1:10" ht="20" customHeight="1" x14ac:dyDescent="0.45">
      <c r="A33" s="16" t="s">
        <v>109</v>
      </c>
      <c r="B33" s="17" t="s">
        <v>122</v>
      </c>
      <c r="C33" s="16" t="s">
        <v>85</v>
      </c>
      <c r="D33" s="17" t="s">
        <v>57</v>
      </c>
      <c r="E33" s="18">
        <v>1023.21</v>
      </c>
      <c r="F33" s="19">
        <v>18</v>
      </c>
      <c r="G33" s="20">
        <v>0.05</v>
      </c>
      <c r="H33" s="16" t="s">
        <v>123</v>
      </c>
      <c r="I33" s="18">
        <v>388.82</v>
      </c>
      <c r="J33" s="21">
        <f t="shared" ca="1" si="0"/>
        <v>46323.475415162036</v>
      </c>
    </row>
    <row r="34" spans="1:10" ht="20" customHeight="1" x14ac:dyDescent="0.45">
      <c r="A34" s="10" t="s">
        <v>78</v>
      </c>
      <c r="B34" s="11" t="s">
        <v>104</v>
      </c>
      <c r="C34" s="10" t="s">
        <v>56</v>
      </c>
      <c r="D34" s="11" t="s">
        <v>76</v>
      </c>
      <c r="E34" s="12">
        <v>853.72</v>
      </c>
      <c r="F34" s="13">
        <v>5</v>
      </c>
      <c r="G34" s="14">
        <v>0.15</v>
      </c>
      <c r="H34" s="10" t="s">
        <v>123</v>
      </c>
      <c r="I34" s="12">
        <v>253.98</v>
      </c>
      <c r="J34" s="15">
        <f t="shared" ref="J34:J65" ca="1" si="1">NOW()</f>
        <v>46323.475415162036</v>
      </c>
    </row>
    <row r="35" spans="1:10" ht="20" customHeight="1" x14ac:dyDescent="0.45">
      <c r="A35" s="16" t="s">
        <v>124</v>
      </c>
      <c r="B35" s="17" t="s">
        <v>98</v>
      </c>
      <c r="C35" s="16" t="s">
        <v>68</v>
      </c>
      <c r="D35" s="17" t="s">
        <v>69</v>
      </c>
      <c r="E35" s="18">
        <v>967.89</v>
      </c>
      <c r="F35" s="19">
        <v>10</v>
      </c>
      <c r="G35" s="20">
        <v>0.1</v>
      </c>
      <c r="H35" s="16" t="s">
        <v>125</v>
      </c>
      <c r="I35" s="18">
        <v>217.78</v>
      </c>
      <c r="J35" s="21">
        <f t="shared" ca="1" si="1"/>
        <v>46323.475415162036</v>
      </c>
    </row>
    <row r="36" spans="1:10" ht="20" customHeight="1" x14ac:dyDescent="0.45">
      <c r="A36" s="10" t="s">
        <v>126</v>
      </c>
      <c r="B36" s="11" t="s">
        <v>117</v>
      </c>
      <c r="C36" s="10" t="s">
        <v>72</v>
      </c>
      <c r="D36" s="11" t="s">
        <v>90</v>
      </c>
      <c r="E36" s="12">
        <v>1200.9000000000001</v>
      </c>
      <c r="F36" s="13">
        <v>14</v>
      </c>
      <c r="G36" s="14">
        <v>0.05</v>
      </c>
      <c r="H36" s="10" t="s">
        <v>125</v>
      </c>
      <c r="I36" s="12">
        <v>513.38</v>
      </c>
      <c r="J36" s="15">
        <f t="shared" ca="1" si="1"/>
        <v>46323.475415162036</v>
      </c>
    </row>
    <row r="37" spans="1:10" ht="20" customHeight="1" x14ac:dyDescent="0.45">
      <c r="A37" s="16" t="s">
        <v>59</v>
      </c>
      <c r="B37" s="17" t="s">
        <v>75</v>
      </c>
      <c r="C37" s="16" t="s">
        <v>56</v>
      </c>
      <c r="D37" s="17" t="s">
        <v>57</v>
      </c>
      <c r="E37" s="18">
        <v>472.38</v>
      </c>
      <c r="F37" s="19">
        <v>12</v>
      </c>
      <c r="G37" s="20">
        <v>0.2</v>
      </c>
      <c r="H37" s="16" t="s">
        <v>125</v>
      </c>
      <c r="I37" s="18">
        <v>151.16</v>
      </c>
      <c r="J37" s="21">
        <f t="shared" ca="1" si="1"/>
        <v>46323.475415162036</v>
      </c>
    </row>
    <row r="38" spans="1:10" ht="20" customHeight="1" x14ac:dyDescent="0.45">
      <c r="A38" s="10" t="s">
        <v>54</v>
      </c>
      <c r="B38" s="11" t="s">
        <v>120</v>
      </c>
      <c r="C38" s="10" t="s">
        <v>65</v>
      </c>
      <c r="D38" s="11" t="s">
        <v>90</v>
      </c>
      <c r="E38" s="12">
        <v>840.92</v>
      </c>
      <c r="F38" s="13">
        <v>9</v>
      </c>
      <c r="G38" s="14">
        <v>0.05</v>
      </c>
      <c r="H38" s="10" t="s">
        <v>125</v>
      </c>
      <c r="I38" s="12">
        <v>359.49</v>
      </c>
      <c r="J38" s="15">
        <f t="shared" ca="1" si="1"/>
        <v>46323.475415162036</v>
      </c>
    </row>
    <row r="39" spans="1:10" ht="20" customHeight="1" x14ac:dyDescent="0.45">
      <c r="A39" s="16" t="s">
        <v>116</v>
      </c>
      <c r="B39" s="17" t="s">
        <v>107</v>
      </c>
      <c r="C39" s="16" t="s">
        <v>85</v>
      </c>
      <c r="D39" s="17" t="s">
        <v>76</v>
      </c>
      <c r="E39" s="18">
        <v>1410.06</v>
      </c>
      <c r="F39" s="19">
        <v>11</v>
      </c>
      <c r="G39" s="20">
        <v>0.05</v>
      </c>
      <c r="H39" s="16" t="s">
        <v>127</v>
      </c>
      <c r="I39" s="18">
        <v>468.84</v>
      </c>
      <c r="J39" s="21">
        <f t="shared" ca="1" si="1"/>
        <v>46323.475415162036</v>
      </c>
    </row>
    <row r="40" spans="1:10" ht="20" customHeight="1" x14ac:dyDescent="0.45">
      <c r="A40" s="10" t="s">
        <v>100</v>
      </c>
      <c r="B40" s="11" t="s">
        <v>128</v>
      </c>
      <c r="C40" s="10" t="s">
        <v>85</v>
      </c>
      <c r="D40" s="11" t="s">
        <v>76</v>
      </c>
      <c r="E40" s="12">
        <v>773.09</v>
      </c>
      <c r="F40" s="13">
        <v>13</v>
      </c>
      <c r="G40" s="14">
        <v>0.15</v>
      </c>
      <c r="H40" s="10" t="s">
        <v>127</v>
      </c>
      <c r="I40" s="12">
        <v>229.99</v>
      </c>
      <c r="J40" s="15">
        <f t="shared" ca="1" si="1"/>
        <v>46323.475415162036</v>
      </c>
    </row>
    <row r="41" spans="1:10" ht="20" customHeight="1" x14ac:dyDescent="0.45">
      <c r="A41" s="16" t="s">
        <v>129</v>
      </c>
      <c r="B41" s="17" t="s">
        <v>130</v>
      </c>
      <c r="C41" s="16" t="s">
        <v>65</v>
      </c>
      <c r="D41" s="17" t="s">
        <v>57</v>
      </c>
      <c r="E41" s="18">
        <v>580.42999999999995</v>
      </c>
      <c r="F41" s="19">
        <v>19</v>
      </c>
      <c r="G41" s="20">
        <v>0.15</v>
      </c>
      <c r="H41" s="16" t="s">
        <v>131</v>
      </c>
      <c r="I41" s="18">
        <v>197.35</v>
      </c>
      <c r="J41" s="21">
        <f t="shared" ca="1" si="1"/>
        <v>46323.475415162036</v>
      </c>
    </row>
    <row r="42" spans="1:10" ht="20" customHeight="1" x14ac:dyDescent="0.45">
      <c r="A42" s="10" t="s">
        <v>67</v>
      </c>
      <c r="B42" s="11" t="s">
        <v>96</v>
      </c>
      <c r="C42" s="10" t="s">
        <v>68</v>
      </c>
      <c r="D42" s="11" t="s">
        <v>57</v>
      </c>
      <c r="E42" s="12">
        <v>1151.21</v>
      </c>
      <c r="F42" s="13">
        <v>15</v>
      </c>
      <c r="G42" s="14">
        <v>0.1</v>
      </c>
      <c r="H42" s="10" t="s">
        <v>132</v>
      </c>
      <c r="I42" s="12">
        <v>414.44</v>
      </c>
      <c r="J42" s="15">
        <f t="shared" ca="1" si="1"/>
        <v>46323.475415162036</v>
      </c>
    </row>
    <row r="43" spans="1:10" ht="20" customHeight="1" x14ac:dyDescent="0.45">
      <c r="A43" s="16" t="s">
        <v>116</v>
      </c>
      <c r="B43" s="17" t="s">
        <v>71</v>
      </c>
      <c r="C43" s="16" t="s">
        <v>85</v>
      </c>
      <c r="D43" s="17" t="s">
        <v>90</v>
      </c>
      <c r="E43" s="18">
        <v>1025.98</v>
      </c>
      <c r="F43" s="19">
        <v>5</v>
      </c>
      <c r="G43" s="20">
        <v>0.2</v>
      </c>
      <c r="H43" s="16" t="s">
        <v>133</v>
      </c>
      <c r="I43" s="18">
        <v>369.35</v>
      </c>
      <c r="J43" s="21">
        <f t="shared" ca="1" si="1"/>
        <v>46323.475415162036</v>
      </c>
    </row>
    <row r="44" spans="1:10" ht="20" customHeight="1" x14ac:dyDescent="0.45">
      <c r="A44" s="10" t="s">
        <v>94</v>
      </c>
      <c r="B44" s="11" t="s">
        <v>122</v>
      </c>
      <c r="C44" s="10" t="s">
        <v>65</v>
      </c>
      <c r="D44" s="11" t="s">
        <v>90</v>
      </c>
      <c r="E44" s="12">
        <v>556.41999999999996</v>
      </c>
      <c r="F44" s="13">
        <v>11</v>
      </c>
      <c r="G44" s="14">
        <v>0.15</v>
      </c>
      <c r="H44" s="10" t="s">
        <v>133</v>
      </c>
      <c r="I44" s="12">
        <v>212.83</v>
      </c>
      <c r="J44" s="15">
        <f t="shared" ca="1" si="1"/>
        <v>46323.475415162036</v>
      </c>
    </row>
    <row r="45" spans="1:10" ht="20" customHeight="1" x14ac:dyDescent="0.45">
      <c r="A45" s="16" t="s">
        <v>124</v>
      </c>
      <c r="B45" s="17" t="s">
        <v>71</v>
      </c>
      <c r="C45" s="16" t="s">
        <v>85</v>
      </c>
      <c r="D45" s="17" t="s">
        <v>57</v>
      </c>
      <c r="E45" s="18">
        <v>840.85</v>
      </c>
      <c r="F45" s="19">
        <v>19</v>
      </c>
      <c r="G45" s="20">
        <v>0.1</v>
      </c>
      <c r="H45" s="16" t="s">
        <v>134</v>
      </c>
      <c r="I45" s="18">
        <v>302.70999999999998</v>
      </c>
      <c r="J45" s="21">
        <f t="shared" ca="1" si="1"/>
        <v>46323.475415162036</v>
      </c>
    </row>
    <row r="46" spans="1:10" ht="20" customHeight="1" x14ac:dyDescent="0.45">
      <c r="A46" s="10" t="s">
        <v>80</v>
      </c>
      <c r="B46" s="11" t="s">
        <v>130</v>
      </c>
      <c r="C46" s="10" t="s">
        <v>72</v>
      </c>
      <c r="D46" s="11" t="s">
        <v>76</v>
      </c>
      <c r="E46" s="12">
        <v>1227.25</v>
      </c>
      <c r="F46" s="13">
        <v>12</v>
      </c>
      <c r="G46" s="14">
        <v>0.15</v>
      </c>
      <c r="H46" s="10" t="s">
        <v>134</v>
      </c>
      <c r="I46" s="12">
        <v>365.11</v>
      </c>
      <c r="J46" s="15">
        <f t="shared" ca="1" si="1"/>
        <v>46323.475415162036</v>
      </c>
    </row>
    <row r="47" spans="1:10" ht="20" customHeight="1" x14ac:dyDescent="0.45">
      <c r="A47" s="16" t="s">
        <v>63</v>
      </c>
      <c r="B47" s="17" t="s">
        <v>135</v>
      </c>
      <c r="C47" s="16" t="s">
        <v>85</v>
      </c>
      <c r="D47" s="17" t="s">
        <v>69</v>
      </c>
      <c r="E47" s="18">
        <v>856.7</v>
      </c>
      <c r="F47" s="19">
        <v>2</v>
      </c>
      <c r="G47" s="20">
        <v>0</v>
      </c>
      <c r="H47" s="16" t="s">
        <v>136</v>
      </c>
      <c r="I47" s="18">
        <v>214.18</v>
      </c>
      <c r="J47" s="21">
        <f t="shared" ca="1" si="1"/>
        <v>46323.475415162036</v>
      </c>
    </row>
    <row r="48" spans="1:10" ht="20" customHeight="1" x14ac:dyDescent="0.45">
      <c r="A48" s="10" t="s">
        <v>119</v>
      </c>
      <c r="B48" s="11" t="s">
        <v>122</v>
      </c>
      <c r="C48" s="10" t="s">
        <v>85</v>
      </c>
      <c r="D48" s="11" t="s">
        <v>90</v>
      </c>
      <c r="E48" s="12">
        <v>1225.42</v>
      </c>
      <c r="F48" s="13">
        <v>8</v>
      </c>
      <c r="G48" s="14">
        <v>0.15</v>
      </c>
      <c r="H48" s="10" t="s">
        <v>136</v>
      </c>
      <c r="I48" s="12">
        <v>468.72</v>
      </c>
      <c r="J48" s="15">
        <f t="shared" ca="1" si="1"/>
        <v>46323.475415162036</v>
      </c>
    </row>
    <row r="49" spans="1:10" ht="20" customHeight="1" x14ac:dyDescent="0.45">
      <c r="A49" s="16" t="s">
        <v>137</v>
      </c>
      <c r="B49" s="17" t="s">
        <v>81</v>
      </c>
      <c r="C49" s="16" t="s">
        <v>72</v>
      </c>
      <c r="D49" s="17" t="s">
        <v>90</v>
      </c>
      <c r="E49" s="18">
        <v>1001.57</v>
      </c>
      <c r="F49" s="19">
        <v>12</v>
      </c>
      <c r="G49" s="20">
        <v>0</v>
      </c>
      <c r="H49" s="16" t="s">
        <v>138</v>
      </c>
      <c r="I49" s="18">
        <v>450.71</v>
      </c>
      <c r="J49" s="21">
        <f t="shared" ca="1" si="1"/>
        <v>46323.475415162036</v>
      </c>
    </row>
    <row r="50" spans="1:10" ht="20" customHeight="1" x14ac:dyDescent="0.45">
      <c r="A50" s="10" t="s">
        <v>124</v>
      </c>
      <c r="B50" s="11" t="s">
        <v>75</v>
      </c>
      <c r="C50" s="10" t="s">
        <v>65</v>
      </c>
      <c r="D50" s="11" t="s">
        <v>76</v>
      </c>
      <c r="E50" s="12">
        <v>1186.8499999999999</v>
      </c>
      <c r="F50" s="13">
        <v>19</v>
      </c>
      <c r="G50" s="14">
        <v>0.2</v>
      </c>
      <c r="H50" s="10" t="s">
        <v>139</v>
      </c>
      <c r="I50" s="12">
        <v>332.32</v>
      </c>
      <c r="J50" s="15">
        <f t="shared" ca="1" si="1"/>
        <v>46323.475415162036</v>
      </c>
    </row>
    <row r="51" spans="1:10" ht="20" customHeight="1" x14ac:dyDescent="0.45">
      <c r="A51" s="16" t="s">
        <v>100</v>
      </c>
      <c r="B51" s="17" t="s">
        <v>113</v>
      </c>
      <c r="C51" s="16" t="s">
        <v>68</v>
      </c>
      <c r="D51" s="17" t="s">
        <v>69</v>
      </c>
      <c r="E51" s="18">
        <v>775.45</v>
      </c>
      <c r="F51" s="19">
        <v>6</v>
      </c>
      <c r="G51" s="20">
        <v>0.1</v>
      </c>
      <c r="H51" s="16" t="s">
        <v>140</v>
      </c>
      <c r="I51" s="18">
        <v>174.48</v>
      </c>
      <c r="J51" s="21">
        <f t="shared" ca="1" si="1"/>
        <v>46323.475415162036</v>
      </c>
    </row>
    <row r="52" spans="1:10" ht="20" customHeight="1" x14ac:dyDescent="0.45">
      <c r="A52" s="10" t="s">
        <v>74</v>
      </c>
      <c r="B52" s="11" t="s">
        <v>84</v>
      </c>
      <c r="C52" s="10" t="s">
        <v>68</v>
      </c>
      <c r="D52" s="11" t="s">
        <v>69</v>
      </c>
      <c r="E52" s="12">
        <v>1021.47</v>
      </c>
      <c r="F52" s="13">
        <v>6</v>
      </c>
      <c r="G52" s="14">
        <v>0.05</v>
      </c>
      <c r="H52" s="10" t="s">
        <v>141</v>
      </c>
      <c r="I52" s="12">
        <v>242.6</v>
      </c>
      <c r="J52" s="15">
        <f t="shared" ca="1" si="1"/>
        <v>46323.475415162036</v>
      </c>
    </row>
    <row r="53" spans="1:10" ht="20" customHeight="1" x14ac:dyDescent="0.45">
      <c r="A53" s="16" t="s">
        <v>126</v>
      </c>
      <c r="B53" s="17" t="s">
        <v>71</v>
      </c>
      <c r="C53" s="16" t="s">
        <v>68</v>
      </c>
      <c r="D53" s="17" t="s">
        <v>61</v>
      </c>
      <c r="E53" s="18">
        <v>1226.6199999999999</v>
      </c>
      <c r="F53" s="19">
        <v>7</v>
      </c>
      <c r="G53" s="20">
        <v>0.1</v>
      </c>
      <c r="H53" s="16" t="s">
        <v>142</v>
      </c>
      <c r="I53" s="18">
        <v>551.98</v>
      </c>
      <c r="J53" s="21">
        <f t="shared" ca="1" si="1"/>
        <v>46323.475415162036</v>
      </c>
    </row>
    <row r="54" spans="1:10" ht="20" customHeight="1" x14ac:dyDescent="0.45">
      <c r="A54" s="10" t="s">
        <v>70</v>
      </c>
      <c r="B54" s="11" t="s">
        <v>143</v>
      </c>
      <c r="C54" s="10" t="s">
        <v>68</v>
      </c>
      <c r="D54" s="11" t="s">
        <v>76</v>
      </c>
      <c r="E54" s="12">
        <v>1086.93</v>
      </c>
      <c r="F54" s="13">
        <v>2</v>
      </c>
      <c r="G54" s="14">
        <v>0</v>
      </c>
      <c r="H54" s="10" t="s">
        <v>144</v>
      </c>
      <c r="I54" s="12">
        <v>380.43</v>
      </c>
      <c r="J54" s="15">
        <f t="shared" ca="1" si="1"/>
        <v>46323.475415162036</v>
      </c>
    </row>
    <row r="55" spans="1:10" ht="20" customHeight="1" x14ac:dyDescent="0.45">
      <c r="A55" s="16" t="s">
        <v>145</v>
      </c>
      <c r="B55" s="17" t="s">
        <v>107</v>
      </c>
      <c r="C55" s="16" t="s">
        <v>56</v>
      </c>
      <c r="D55" s="17" t="s">
        <v>57</v>
      </c>
      <c r="E55" s="18">
        <v>942.9</v>
      </c>
      <c r="F55" s="19">
        <v>18</v>
      </c>
      <c r="G55" s="20">
        <v>0.1</v>
      </c>
      <c r="H55" s="16" t="s">
        <v>146</v>
      </c>
      <c r="I55" s="18">
        <v>339.44</v>
      </c>
      <c r="J55" s="21">
        <f t="shared" ca="1" si="1"/>
        <v>46323.475415162036</v>
      </c>
    </row>
    <row r="56" spans="1:10" ht="20" customHeight="1" x14ac:dyDescent="0.45">
      <c r="A56" s="10" t="s">
        <v>83</v>
      </c>
      <c r="B56" s="11" t="s">
        <v>89</v>
      </c>
      <c r="C56" s="10" t="s">
        <v>72</v>
      </c>
      <c r="D56" s="11" t="s">
        <v>69</v>
      </c>
      <c r="E56" s="12">
        <v>818.8</v>
      </c>
      <c r="F56" s="13">
        <v>15</v>
      </c>
      <c r="G56" s="14">
        <v>0.15</v>
      </c>
      <c r="H56" s="10" t="s">
        <v>147</v>
      </c>
      <c r="I56" s="12">
        <v>173.99</v>
      </c>
      <c r="J56" s="15">
        <f t="shared" ca="1" si="1"/>
        <v>46323.475415162036</v>
      </c>
    </row>
    <row r="57" spans="1:10" ht="20" customHeight="1" x14ac:dyDescent="0.45">
      <c r="A57" s="16" t="s">
        <v>67</v>
      </c>
      <c r="B57" s="17" t="s">
        <v>60</v>
      </c>
      <c r="C57" s="16" t="s">
        <v>68</v>
      </c>
      <c r="D57" s="17" t="s">
        <v>76</v>
      </c>
      <c r="E57" s="18">
        <v>919.04</v>
      </c>
      <c r="F57" s="19">
        <v>10</v>
      </c>
      <c r="G57" s="20">
        <v>0.2</v>
      </c>
      <c r="H57" s="16" t="s">
        <v>147</v>
      </c>
      <c r="I57" s="18">
        <v>257.33</v>
      </c>
      <c r="J57" s="21">
        <f t="shared" ca="1" si="1"/>
        <v>46323.475415162036</v>
      </c>
    </row>
    <row r="58" spans="1:10" ht="20" customHeight="1" x14ac:dyDescent="0.45">
      <c r="A58" s="10" t="s">
        <v>70</v>
      </c>
      <c r="B58" s="11" t="s">
        <v>148</v>
      </c>
      <c r="C58" s="10" t="s">
        <v>85</v>
      </c>
      <c r="D58" s="11" t="s">
        <v>57</v>
      </c>
      <c r="E58" s="12">
        <v>973.26</v>
      </c>
      <c r="F58" s="13">
        <v>11</v>
      </c>
      <c r="G58" s="14">
        <v>0</v>
      </c>
      <c r="H58" s="10" t="s">
        <v>149</v>
      </c>
      <c r="I58" s="12">
        <v>389.3</v>
      </c>
      <c r="J58" s="15">
        <f t="shared" ca="1" si="1"/>
        <v>46323.475415162036</v>
      </c>
    </row>
    <row r="59" spans="1:10" ht="20" customHeight="1" x14ac:dyDescent="0.45">
      <c r="A59" s="16" t="s">
        <v>95</v>
      </c>
      <c r="B59" s="17" t="s">
        <v>143</v>
      </c>
      <c r="C59" s="16" t="s">
        <v>72</v>
      </c>
      <c r="D59" s="17" t="s">
        <v>69</v>
      </c>
      <c r="E59" s="18">
        <v>741.61</v>
      </c>
      <c r="F59" s="19">
        <v>1</v>
      </c>
      <c r="G59" s="20">
        <v>0.2</v>
      </c>
      <c r="H59" s="16" t="s">
        <v>150</v>
      </c>
      <c r="I59" s="18">
        <v>148.32</v>
      </c>
      <c r="J59" s="21">
        <f t="shared" ca="1" si="1"/>
        <v>46323.475415162036</v>
      </c>
    </row>
    <row r="60" spans="1:10" ht="20" customHeight="1" x14ac:dyDescent="0.45">
      <c r="A60" s="10" t="s">
        <v>151</v>
      </c>
      <c r="B60" s="11" t="s">
        <v>89</v>
      </c>
      <c r="C60" s="10" t="s">
        <v>72</v>
      </c>
      <c r="D60" s="11" t="s">
        <v>57</v>
      </c>
      <c r="E60" s="12">
        <v>1248.82</v>
      </c>
      <c r="F60" s="13">
        <v>2</v>
      </c>
      <c r="G60" s="14">
        <v>0.1</v>
      </c>
      <c r="H60" s="10" t="s">
        <v>152</v>
      </c>
      <c r="I60" s="12">
        <v>449.58</v>
      </c>
      <c r="J60" s="15">
        <f t="shared" ca="1" si="1"/>
        <v>46323.475415162036</v>
      </c>
    </row>
    <row r="61" spans="1:10" ht="20" customHeight="1" x14ac:dyDescent="0.45">
      <c r="A61" s="16" t="s">
        <v>59</v>
      </c>
      <c r="B61" s="17" t="s">
        <v>128</v>
      </c>
      <c r="C61" s="16" t="s">
        <v>56</v>
      </c>
      <c r="D61" s="17" t="s">
        <v>61</v>
      </c>
      <c r="E61" s="18">
        <v>1360.36</v>
      </c>
      <c r="F61" s="19">
        <v>17</v>
      </c>
      <c r="G61" s="20">
        <v>0</v>
      </c>
      <c r="H61" s="16" t="s">
        <v>152</v>
      </c>
      <c r="I61" s="18">
        <v>680.18</v>
      </c>
      <c r="J61" s="21">
        <f t="shared" ca="1" si="1"/>
        <v>46323.475415162036</v>
      </c>
    </row>
    <row r="62" spans="1:10" ht="20" customHeight="1" x14ac:dyDescent="0.45">
      <c r="A62" s="10" t="s">
        <v>124</v>
      </c>
      <c r="B62" s="11" t="s">
        <v>81</v>
      </c>
      <c r="C62" s="10" t="s">
        <v>65</v>
      </c>
      <c r="D62" s="11" t="s">
        <v>57</v>
      </c>
      <c r="E62" s="12">
        <v>1383.3</v>
      </c>
      <c r="F62" s="13">
        <v>8</v>
      </c>
      <c r="G62" s="14">
        <v>0.1</v>
      </c>
      <c r="H62" s="10" t="s">
        <v>153</v>
      </c>
      <c r="I62" s="12">
        <v>497.99</v>
      </c>
      <c r="J62" s="15">
        <f t="shared" ca="1" si="1"/>
        <v>46323.475415162036</v>
      </c>
    </row>
    <row r="63" spans="1:10" ht="20" customHeight="1" x14ac:dyDescent="0.45">
      <c r="A63" s="16" t="s">
        <v>86</v>
      </c>
      <c r="B63" s="17" t="s">
        <v>120</v>
      </c>
      <c r="C63" s="16" t="s">
        <v>85</v>
      </c>
      <c r="D63" s="17" t="s">
        <v>90</v>
      </c>
      <c r="E63" s="18">
        <v>488.99</v>
      </c>
      <c r="F63" s="19">
        <v>9</v>
      </c>
      <c r="G63" s="20">
        <v>0</v>
      </c>
      <c r="H63" s="16" t="s">
        <v>154</v>
      </c>
      <c r="I63" s="18">
        <v>220.05</v>
      </c>
      <c r="J63" s="21">
        <f t="shared" ca="1" si="1"/>
        <v>46323.475415162036</v>
      </c>
    </row>
    <row r="64" spans="1:10" ht="20" customHeight="1" x14ac:dyDescent="0.45">
      <c r="A64" s="10" t="s">
        <v>80</v>
      </c>
      <c r="B64" s="11" t="s">
        <v>81</v>
      </c>
      <c r="C64" s="10" t="s">
        <v>65</v>
      </c>
      <c r="D64" s="11" t="s">
        <v>76</v>
      </c>
      <c r="E64" s="12">
        <v>933.71</v>
      </c>
      <c r="F64" s="13">
        <v>17</v>
      </c>
      <c r="G64" s="14">
        <v>0.1</v>
      </c>
      <c r="H64" s="10" t="s">
        <v>155</v>
      </c>
      <c r="I64" s="12">
        <v>294.12</v>
      </c>
      <c r="J64" s="15">
        <f t="shared" ca="1" si="1"/>
        <v>46323.475415162036</v>
      </c>
    </row>
    <row r="65" spans="1:10" ht="20" customHeight="1" x14ac:dyDescent="0.45">
      <c r="A65" s="16" t="s">
        <v>151</v>
      </c>
      <c r="B65" s="17" t="s">
        <v>55</v>
      </c>
      <c r="C65" s="16" t="s">
        <v>56</v>
      </c>
      <c r="D65" s="17" t="s">
        <v>69</v>
      </c>
      <c r="E65" s="18">
        <v>1005.53</v>
      </c>
      <c r="F65" s="19">
        <v>17</v>
      </c>
      <c r="G65" s="20">
        <v>0.2</v>
      </c>
      <c r="H65" s="16" t="s">
        <v>155</v>
      </c>
      <c r="I65" s="18">
        <v>201.11</v>
      </c>
      <c r="J65" s="21">
        <f t="shared" ca="1" si="1"/>
        <v>46323.475415162036</v>
      </c>
    </row>
    <row r="66" spans="1:10" ht="20" customHeight="1" x14ac:dyDescent="0.45">
      <c r="A66" s="10" t="s">
        <v>95</v>
      </c>
      <c r="B66" s="11" t="s">
        <v>130</v>
      </c>
      <c r="C66" s="10" t="s">
        <v>68</v>
      </c>
      <c r="D66" s="11" t="s">
        <v>69</v>
      </c>
      <c r="E66" s="12">
        <v>1100.0999999999999</v>
      </c>
      <c r="F66" s="13">
        <v>5</v>
      </c>
      <c r="G66" s="14">
        <v>0.05</v>
      </c>
      <c r="H66" s="10" t="s">
        <v>156</v>
      </c>
      <c r="I66" s="12">
        <v>261.27</v>
      </c>
      <c r="J66" s="15">
        <f t="shared" ref="J66:J97" ca="1" si="2">NOW()</f>
        <v>46323.475415162036</v>
      </c>
    </row>
    <row r="67" spans="1:10" ht="20" customHeight="1" x14ac:dyDescent="0.45">
      <c r="A67" s="16" t="s">
        <v>151</v>
      </c>
      <c r="B67" s="17" t="s">
        <v>71</v>
      </c>
      <c r="C67" s="16" t="s">
        <v>72</v>
      </c>
      <c r="D67" s="17" t="s">
        <v>76</v>
      </c>
      <c r="E67" s="18">
        <v>1034.7</v>
      </c>
      <c r="F67" s="19">
        <v>15</v>
      </c>
      <c r="G67" s="20">
        <v>0.15</v>
      </c>
      <c r="H67" s="16" t="s">
        <v>157</v>
      </c>
      <c r="I67" s="18">
        <v>307.82</v>
      </c>
      <c r="J67" s="21">
        <f t="shared" ca="1" si="2"/>
        <v>46323.475415162036</v>
      </c>
    </row>
    <row r="68" spans="1:10" ht="20" customHeight="1" x14ac:dyDescent="0.45">
      <c r="A68" s="10" t="s">
        <v>145</v>
      </c>
      <c r="B68" s="11" t="s">
        <v>81</v>
      </c>
      <c r="C68" s="10" t="s">
        <v>68</v>
      </c>
      <c r="D68" s="11" t="s">
        <v>57</v>
      </c>
      <c r="E68" s="12">
        <v>876.44</v>
      </c>
      <c r="F68" s="13">
        <v>12</v>
      </c>
      <c r="G68" s="14">
        <v>0.05</v>
      </c>
      <c r="H68" s="10" t="s">
        <v>158</v>
      </c>
      <c r="I68" s="12">
        <v>333.05</v>
      </c>
      <c r="J68" s="15">
        <f t="shared" ca="1" si="2"/>
        <v>46323.475415162036</v>
      </c>
    </row>
    <row r="69" spans="1:10" ht="20" customHeight="1" x14ac:dyDescent="0.45">
      <c r="A69" s="16" t="s">
        <v>159</v>
      </c>
      <c r="B69" s="17" t="s">
        <v>120</v>
      </c>
      <c r="C69" s="16" t="s">
        <v>56</v>
      </c>
      <c r="D69" s="17" t="s">
        <v>76</v>
      </c>
      <c r="E69" s="18">
        <v>1371.34</v>
      </c>
      <c r="F69" s="19">
        <v>5</v>
      </c>
      <c r="G69" s="20">
        <v>0.05</v>
      </c>
      <c r="H69" s="16" t="s">
        <v>158</v>
      </c>
      <c r="I69" s="18">
        <v>455.97</v>
      </c>
      <c r="J69" s="21">
        <f t="shared" ca="1" si="2"/>
        <v>46323.475415162036</v>
      </c>
    </row>
    <row r="70" spans="1:10" ht="20" customHeight="1" x14ac:dyDescent="0.45">
      <c r="A70" s="10" t="s">
        <v>124</v>
      </c>
      <c r="B70" s="11" t="s">
        <v>104</v>
      </c>
      <c r="C70" s="10" t="s">
        <v>72</v>
      </c>
      <c r="D70" s="11" t="s">
        <v>69</v>
      </c>
      <c r="E70" s="12">
        <v>1020.26</v>
      </c>
      <c r="F70" s="13">
        <v>11</v>
      </c>
      <c r="G70" s="14">
        <v>0.05</v>
      </c>
      <c r="H70" s="10" t="s">
        <v>160</v>
      </c>
      <c r="I70" s="12">
        <v>242.31</v>
      </c>
      <c r="J70" s="15">
        <f t="shared" ca="1" si="2"/>
        <v>46323.475415162036</v>
      </c>
    </row>
    <row r="71" spans="1:10" ht="20" customHeight="1" x14ac:dyDescent="0.45">
      <c r="A71" s="16" t="s">
        <v>100</v>
      </c>
      <c r="B71" s="17" t="s">
        <v>55</v>
      </c>
      <c r="C71" s="16" t="s">
        <v>85</v>
      </c>
      <c r="D71" s="17" t="s">
        <v>90</v>
      </c>
      <c r="E71" s="18">
        <v>804.81</v>
      </c>
      <c r="F71" s="19">
        <v>1</v>
      </c>
      <c r="G71" s="20">
        <v>0.05</v>
      </c>
      <c r="H71" s="16" t="s">
        <v>161</v>
      </c>
      <c r="I71" s="18">
        <v>344.06</v>
      </c>
      <c r="J71" s="21">
        <f t="shared" ca="1" si="2"/>
        <v>46323.475415162036</v>
      </c>
    </row>
    <row r="72" spans="1:10" ht="20" customHeight="1" x14ac:dyDescent="0.45">
      <c r="A72" s="10" t="s">
        <v>70</v>
      </c>
      <c r="B72" s="11" t="s">
        <v>120</v>
      </c>
      <c r="C72" s="10" t="s">
        <v>85</v>
      </c>
      <c r="D72" s="11" t="s">
        <v>69</v>
      </c>
      <c r="E72" s="12">
        <v>608.66</v>
      </c>
      <c r="F72" s="13">
        <v>1</v>
      </c>
      <c r="G72" s="14">
        <v>0.05</v>
      </c>
      <c r="H72" s="10" t="s">
        <v>162</v>
      </c>
      <c r="I72" s="12">
        <v>144.56</v>
      </c>
      <c r="J72" s="15">
        <f t="shared" ca="1" si="2"/>
        <v>46323.475415162036</v>
      </c>
    </row>
    <row r="73" spans="1:10" ht="20" customHeight="1" x14ac:dyDescent="0.45">
      <c r="A73" s="16" t="s">
        <v>159</v>
      </c>
      <c r="B73" s="17" t="s">
        <v>163</v>
      </c>
      <c r="C73" s="16" t="s">
        <v>68</v>
      </c>
      <c r="D73" s="17" t="s">
        <v>90</v>
      </c>
      <c r="E73" s="18">
        <v>981.2</v>
      </c>
      <c r="F73" s="19">
        <v>19</v>
      </c>
      <c r="G73" s="20">
        <v>0</v>
      </c>
      <c r="H73" s="16" t="s">
        <v>164</v>
      </c>
      <c r="I73" s="18">
        <v>441.54</v>
      </c>
      <c r="J73" s="21">
        <f t="shared" ca="1" si="2"/>
        <v>46323.475415162036</v>
      </c>
    </row>
    <row r="74" spans="1:10" ht="20" customHeight="1" x14ac:dyDescent="0.45">
      <c r="A74" s="10" t="s">
        <v>165</v>
      </c>
      <c r="B74" s="11" t="s">
        <v>120</v>
      </c>
      <c r="C74" s="10" t="s">
        <v>65</v>
      </c>
      <c r="D74" s="11" t="s">
        <v>69</v>
      </c>
      <c r="E74" s="12">
        <v>539.77</v>
      </c>
      <c r="F74" s="13">
        <v>10</v>
      </c>
      <c r="G74" s="14">
        <v>0.15</v>
      </c>
      <c r="H74" s="10" t="s">
        <v>166</v>
      </c>
      <c r="I74" s="12">
        <v>114.7</v>
      </c>
      <c r="J74" s="15">
        <f t="shared" ca="1" si="2"/>
        <v>46323.475415162036</v>
      </c>
    </row>
    <row r="75" spans="1:10" ht="20" customHeight="1" x14ac:dyDescent="0.45">
      <c r="A75" s="16" t="s">
        <v>59</v>
      </c>
      <c r="B75" s="17" t="s">
        <v>167</v>
      </c>
      <c r="C75" s="16" t="s">
        <v>68</v>
      </c>
      <c r="D75" s="17" t="s">
        <v>57</v>
      </c>
      <c r="E75" s="18">
        <v>804.45</v>
      </c>
      <c r="F75" s="19">
        <v>5</v>
      </c>
      <c r="G75" s="20">
        <v>0.2</v>
      </c>
      <c r="H75" s="16" t="s">
        <v>166</v>
      </c>
      <c r="I75" s="18">
        <v>257.42</v>
      </c>
      <c r="J75" s="21">
        <f t="shared" ca="1" si="2"/>
        <v>46323.475415162036</v>
      </c>
    </row>
    <row r="76" spans="1:10" ht="20" customHeight="1" x14ac:dyDescent="0.45">
      <c r="A76" s="10" t="s">
        <v>165</v>
      </c>
      <c r="B76" s="11" t="s">
        <v>89</v>
      </c>
      <c r="C76" s="10" t="s">
        <v>56</v>
      </c>
      <c r="D76" s="11" t="s">
        <v>69</v>
      </c>
      <c r="E76" s="12">
        <v>1526.6</v>
      </c>
      <c r="F76" s="13">
        <v>13</v>
      </c>
      <c r="G76" s="14">
        <v>0.2</v>
      </c>
      <c r="H76" s="10" t="s">
        <v>168</v>
      </c>
      <c r="I76" s="12">
        <v>305.32</v>
      </c>
      <c r="J76" s="15">
        <f t="shared" ca="1" si="2"/>
        <v>46323.475415162036</v>
      </c>
    </row>
    <row r="77" spans="1:10" ht="20" customHeight="1" x14ac:dyDescent="0.45">
      <c r="A77" s="16" t="s">
        <v>59</v>
      </c>
      <c r="B77" s="17" t="s">
        <v>79</v>
      </c>
      <c r="C77" s="16" t="s">
        <v>56</v>
      </c>
      <c r="D77" s="17" t="s">
        <v>69</v>
      </c>
      <c r="E77" s="18">
        <v>1215.26</v>
      </c>
      <c r="F77" s="19">
        <v>5</v>
      </c>
      <c r="G77" s="20">
        <v>0.15</v>
      </c>
      <c r="H77" s="16" t="s">
        <v>169</v>
      </c>
      <c r="I77" s="18">
        <v>258.24</v>
      </c>
      <c r="J77" s="21">
        <f t="shared" ca="1" si="2"/>
        <v>46323.475415162036</v>
      </c>
    </row>
    <row r="78" spans="1:10" ht="20" customHeight="1" x14ac:dyDescent="0.45">
      <c r="A78" s="10" t="s">
        <v>67</v>
      </c>
      <c r="B78" s="11" t="s">
        <v>117</v>
      </c>
      <c r="C78" s="10" t="s">
        <v>85</v>
      </c>
      <c r="D78" s="11" t="s">
        <v>76</v>
      </c>
      <c r="E78" s="12">
        <v>1261.3399999999999</v>
      </c>
      <c r="F78" s="13">
        <v>3</v>
      </c>
      <c r="G78" s="14">
        <v>0</v>
      </c>
      <c r="H78" s="10" t="s">
        <v>170</v>
      </c>
      <c r="I78" s="12">
        <v>441.47</v>
      </c>
      <c r="J78" s="15">
        <f t="shared" ca="1" si="2"/>
        <v>46323.475415162036</v>
      </c>
    </row>
    <row r="79" spans="1:10" ht="20" customHeight="1" x14ac:dyDescent="0.45">
      <c r="A79" s="16" t="s">
        <v>171</v>
      </c>
      <c r="B79" s="17" t="s">
        <v>102</v>
      </c>
      <c r="C79" s="16" t="s">
        <v>72</v>
      </c>
      <c r="D79" s="17" t="s">
        <v>76</v>
      </c>
      <c r="E79" s="18">
        <v>518.07000000000005</v>
      </c>
      <c r="F79" s="19">
        <v>7</v>
      </c>
      <c r="G79" s="20">
        <v>0.05</v>
      </c>
      <c r="H79" s="16" t="s">
        <v>172</v>
      </c>
      <c r="I79" s="18">
        <v>172.26</v>
      </c>
      <c r="J79" s="21">
        <f t="shared" ca="1" si="2"/>
        <v>46323.475415162036</v>
      </c>
    </row>
    <row r="80" spans="1:10" ht="20" customHeight="1" x14ac:dyDescent="0.45">
      <c r="A80" s="10" t="s">
        <v>80</v>
      </c>
      <c r="B80" s="11" t="s">
        <v>79</v>
      </c>
      <c r="C80" s="10" t="s">
        <v>56</v>
      </c>
      <c r="D80" s="11" t="s">
        <v>90</v>
      </c>
      <c r="E80" s="12">
        <v>1111.3399999999999</v>
      </c>
      <c r="F80" s="13">
        <v>1</v>
      </c>
      <c r="G80" s="14">
        <v>0</v>
      </c>
      <c r="H80" s="10" t="s">
        <v>173</v>
      </c>
      <c r="I80" s="12">
        <v>500.1</v>
      </c>
      <c r="J80" s="15">
        <f t="shared" ca="1" si="2"/>
        <v>46323.475415162036</v>
      </c>
    </row>
    <row r="81" spans="1:10" ht="20" customHeight="1" x14ac:dyDescent="0.45">
      <c r="A81" s="16" t="s">
        <v>70</v>
      </c>
      <c r="B81" s="17" t="s">
        <v>81</v>
      </c>
      <c r="C81" s="16" t="s">
        <v>65</v>
      </c>
      <c r="D81" s="17" t="s">
        <v>61</v>
      </c>
      <c r="E81" s="18">
        <v>1291.47</v>
      </c>
      <c r="F81" s="19">
        <v>18</v>
      </c>
      <c r="G81" s="20">
        <v>0.1</v>
      </c>
      <c r="H81" s="16" t="s">
        <v>174</v>
      </c>
      <c r="I81" s="18">
        <v>581.16</v>
      </c>
      <c r="J81" s="21">
        <f t="shared" ca="1" si="2"/>
        <v>46323.475415162036</v>
      </c>
    </row>
    <row r="82" spans="1:10" ht="20" customHeight="1" x14ac:dyDescent="0.45">
      <c r="A82" s="10" t="s">
        <v>74</v>
      </c>
      <c r="B82" s="11" t="s">
        <v>120</v>
      </c>
      <c r="C82" s="10" t="s">
        <v>72</v>
      </c>
      <c r="D82" s="11" t="s">
        <v>57</v>
      </c>
      <c r="E82" s="12">
        <v>679.71</v>
      </c>
      <c r="F82" s="13">
        <v>19</v>
      </c>
      <c r="G82" s="14">
        <v>0</v>
      </c>
      <c r="H82" s="10" t="s">
        <v>175</v>
      </c>
      <c r="I82" s="12">
        <v>271.88</v>
      </c>
      <c r="J82" s="15">
        <f t="shared" ca="1" si="2"/>
        <v>46323.475415162036</v>
      </c>
    </row>
    <row r="83" spans="1:10" ht="20" customHeight="1" x14ac:dyDescent="0.45">
      <c r="A83" s="16" t="s">
        <v>159</v>
      </c>
      <c r="B83" s="17" t="s">
        <v>84</v>
      </c>
      <c r="C83" s="16" t="s">
        <v>65</v>
      </c>
      <c r="D83" s="17" t="s">
        <v>76</v>
      </c>
      <c r="E83" s="18">
        <v>1143.69</v>
      </c>
      <c r="F83" s="19">
        <v>17</v>
      </c>
      <c r="G83" s="20">
        <v>0</v>
      </c>
      <c r="H83" s="16" t="s">
        <v>175</v>
      </c>
      <c r="I83" s="18">
        <v>400.29</v>
      </c>
      <c r="J83" s="21">
        <f t="shared" ca="1" si="2"/>
        <v>46323.475415162036</v>
      </c>
    </row>
    <row r="84" spans="1:10" ht="20" customHeight="1" x14ac:dyDescent="0.45">
      <c r="A84" s="10" t="s">
        <v>116</v>
      </c>
      <c r="B84" s="11" t="s">
        <v>112</v>
      </c>
      <c r="C84" s="10" t="s">
        <v>85</v>
      </c>
      <c r="D84" s="11" t="s">
        <v>69</v>
      </c>
      <c r="E84" s="12">
        <v>790.08</v>
      </c>
      <c r="F84" s="13">
        <v>7</v>
      </c>
      <c r="G84" s="14">
        <v>0.1</v>
      </c>
      <c r="H84" s="10" t="s">
        <v>176</v>
      </c>
      <c r="I84" s="12">
        <v>177.77</v>
      </c>
      <c r="J84" s="15">
        <f t="shared" ca="1" si="2"/>
        <v>46323.475415162036</v>
      </c>
    </row>
    <row r="85" spans="1:10" ht="20" customHeight="1" x14ac:dyDescent="0.45">
      <c r="A85" s="16" t="s">
        <v>67</v>
      </c>
      <c r="B85" s="17" t="s">
        <v>107</v>
      </c>
      <c r="C85" s="16" t="s">
        <v>85</v>
      </c>
      <c r="D85" s="17" t="s">
        <v>57</v>
      </c>
      <c r="E85" s="18">
        <v>1070.68</v>
      </c>
      <c r="F85" s="19">
        <v>7</v>
      </c>
      <c r="G85" s="20">
        <v>0.05</v>
      </c>
      <c r="H85" s="16" t="s">
        <v>176</v>
      </c>
      <c r="I85" s="18">
        <v>406.86</v>
      </c>
      <c r="J85" s="21">
        <f t="shared" ca="1" si="2"/>
        <v>46323.475415162036</v>
      </c>
    </row>
    <row r="86" spans="1:10" ht="20" customHeight="1" x14ac:dyDescent="0.45">
      <c r="A86" s="10" t="s">
        <v>126</v>
      </c>
      <c r="B86" s="11" t="s">
        <v>87</v>
      </c>
      <c r="C86" s="10" t="s">
        <v>56</v>
      </c>
      <c r="D86" s="11" t="s">
        <v>61</v>
      </c>
      <c r="E86" s="12">
        <v>1168.8900000000001</v>
      </c>
      <c r="F86" s="13">
        <v>4</v>
      </c>
      <c r="G86" s="14">
        <v>0.1</v>
      </c>
      <c r="H86" s="10" t="s">
        <v>177</v>
      </c>
      <c r="I86" s="12">
        <v>526</v>
      </c>
      <c r="J86" s="15">
        <f t="shared" ca="1" si="2"/>
        <v>46323.475415162036</v>
      </c>
    </row>
    <row r="87" spans="1:10" ht="20" customHeight="1" x14ac:dyDescent="0.45">
      <c r="A87" s="16" t="s">
        <v>151</v>
      </c>
      <c r="B87" s="17" t="s">
        <v>55</v>
      </c>
      <c r="C87" s="16" t="s">
        <v>68</v>
      </c>
      <c r="D87" s="17" t="s">
        <v>69</v>
      </c>
      <c r="E87" s="18">
        <v>1335.87</v>
      </c>
      <c r="F87" s="19">
        <v>17</v>
      </c>
      <c r="G87" s="20">
        <v>0</v>
      </c>
      <c r="H87" s="16" t="s">
        <v>177</v>
      </c>
      <c r="I87" s="18">
        <v>333.97</v>
      </c>
      <c r="J87" s="21">
        <f t="shared" ca="1" si="2"/>
        <v>46323.475415162036</v>
      </c>
    </row>
    <row r="88" spans="1:10" ht="20" customHeight="1" x14ac:dyDescent="0.45">
      <c r="A88" s="10" t="s">
        <v>94</v>
      </c>
      <c r="B88" s="11" t="s">
        <v>120</v>
      </c>
      <c r="C88" s="10" t="s">
        <v>65</v>
      </c>
      <c r="D88" s="11" t="s">
        <v>76</v>
      </c>
      <c r="E88" s="12">
        <v>873.7</v>
      </c>
      <c r="F88" s="13">
        <v>9</v>
      </c>
      <c r="G88" s="14">
        <v>0</v>
      </c>
      <c r="H88" s="10" t="s">
        <v>178</v>
      </c>
      <c r="I88" s="12">
        <v>305.8</v>
      </c>
      <c r="J88" s="15">
        <f t="shared" ca="1" si="2"/>
        <v>46323.475415162036</v>
      </c>
    </row>
    <row r="89" spans="1:10" ht="20" customHeight="1" x14ac:dyDescent="0.45">
      <c r="A89" s="16" t="s">
        <v>171</v>
      </c>
      <c r="B89" s="17" t="s">
        <v>143</v>
      </c>
      <c r="C89" s="16" t="s">
        <v>56</v>
      </c>
      <c r="D89" s="17" t="s">
        <v>90</v>
      </c>
      <c r="E89" s="18">
        <v>1443.98</v>
      </c>
      <c r="F89" s="19">
        <v>19</v>
      </c>
      <c r="G89" s="20">
        <v>0</v>
      </c>
      <c r="H89" s="16" t="s">
        <v>179</v>
      </c>
      <c r="I89" s="18">
        <v>649.79</v>
      </c>
      <c r="J89" s="21">
        <f t="shared" ca="1" si="2"/>
        <v>46323.475415162036</v>
      </c>
    </row>
    <row r="90" spans="1:10" ht="20" customHeight="1" x14ac:dyDescent="0.45">
      <c r="A90" s="10" t="s">
        <v>94</v>
      </c>
      <c r="B90" s="11" t="s">
        <v>71</v>
      </c>
      <c r="C90" s="10" t="s">
        <v>65</v>
      </c>
      <c r="D90" s="11" t="s">
        <v>90</v>
      </c>
      <c r="E90" s="12">
        <v>1154.33</v>
      </c>
      <c r="F90" s="13">
        <v>11</v>
      </c>
      <c r="G90" s="14">
        <v>0.15</v>
      </c>
      <c r="H90" s="10" t="s">
        <v>180</v>
      </c>
      <c r="I90" s="12">
        <v>441.53</v>
      </c>
      <c r="J90" s="15">
        <f t="shared" ca="1" si="2"/>
        <v>46323.475415162036</v>
      </c>
    </row>
    <row r="91" spans="1:10" ht="20" customHeight="1" x14ac:dyDescent="0.45">
      <c r="A91" s="16" t="s">
        <v>109</v>
      </c>
      <c r="B91" s="17" t="s">
        <v>112</v>
      </c>
      <c r="C91" s="16" t="s">
        <v>68</v>
      </c>
      <c r="D91" s="17" t="s">
        <v>57</v>
      </c>
      <c r="E91" s="18">
        <v>1264.49</v>
      </c>
      <c r="F91" s="19">
        <v>16</v>
      </c>
      <c r="G91" s="20">
        <v>0.05</v>
      </c>
      <c r="H91" s="16" t="s">
        <v>180</v>
      </c>
      <c r="I91" s="18">
        <v>480.51</v>
      </c>
      <c r="J91" s="21">
        <f t="shared" ca="1" si="2"/>
        <v>46323.475415162036</v>
      </c>
    </row>
    <row r="92" spans="1:10" ht="20" customHeight="1" x14ac:dyDescent="0.45">
      <c r="A92" s="10" t="s">
        <v>74</v>
      </c>
      <c r="B92" s="11" t="s">
        <v>148</v>
      </c>
      <c r="C92" s="10" t="s">
        <v>56</v>
      </c>
      <c r="D92" s="11" t="s">
        <v>76</v>
      </c>
      <c r="E92" s="12">
        <v>1101.55</v>
      </c>
      <c r="F92" s="13">
        <v>4</v>
      </c>
      <c r="G92" s="14">
        <v>0.1</v>
      </c>
      <c r="H92" s="10" t="s">
        <v>181</v>
      </c>
      <c r="I92" s="12">
        <v>346.99</v>
      </c>
      <c r="J92" s="15">
        <f t="shared" ca="1" si="2"/>
        <v>46323.475415162036</v>
      </c>
    </row>
    <row r="93" spans="1:10" ht="20" customHeight="1" x14ac:dyDescent="0.45">
      <c r="A93" s="16" t="s">
        <v>182</v>
      </c>
      <c r="B93" s="17" t="s">
        <v>60</v>
      </c>
      <c r="C93" s="16" t="s">
        <v>68</v>
      </c>
      <c r="D93" s="17" t="s">
        <v>76</v>
      </c>
      <c r="E93" s="18">
        <v>727.73</v>
      </c>
      <c r="F93" s="19">
        <v>1</v>
      </c>
      <c r="G93" s="20">
        <v>0.1</v>
      </c>
      <c r="H93" s="16" t="s">
        <v>183</v>
      </c>
      <c r="I93" s="18">
        <v>229.23</v>
      </c>
      <c r="J93" s="21">
        <f t="shared" ca="1" si="2"/>
        <v>46323.475415162036</v>
      </c>
    </row>
    <row r="94" spans="1:10" ht="20" customHeight="1" x14ac:dyDescent="0.45">
      <c r="A94" s="10" t="s">
        <v>184</v>
      </c>
      <c r="B94" s="11" t="s">
        <v>89</v>
      </c>
      <c r="C94" s="10" t="s">
        <v>65</v>
      </c>
      <c r="D94" s="11" t="s">
        <v>90</v>
      </c>
      <c r="E94" s="12">
        <v>875.41</v>
      </c>
      <c r="F94" s="13">
        <v>13</v>
      </c>
      <c r="G94" s="14">
        <v>0.15</v>
      </c>
      <c r="H94" s="10" t="s">
        <v>183</v>
      </c>
      <c r="I94" s="12">
        <v>334.84</v>
      </c>
      <c r="J94" s="15">
        <f t="shared" ca="1" si="2"/>
        <v>46323.475415162036</v>
      </c>
    </row>
    <row r="95" spans="1:10" ht="20" customHeight="1" x14ac:dyDescent="0.45">
      <c r="A95" s="16" t="s">
        <v>151</v>
      </c>
      <c r="B95" s="17" t="s">
        <v>71</v>
      </c>
      <c r="C95" s="16" t="s">
        <v>56</v>
      </c>
      <c r="D95" s="17" t="s">
        <v>69</v>
      </c>
      <c r="E95" s="18">
        <v>1158.94</v>
      </c>
      <c r="F95" s="19">
        <v>19</v>
      </c>
      <c r="G95" s="20">
        <v>0.2</v>
      </c>
      <c r="H95" s="16" t="s">
        <v>185</v>
      </c>
      <c r="I95" s="18">
        <v>231.79</v>
      </c>
      <c r="J95" s="21">
        <f t="shared" ca="1" si="2"/>
        <v>46323.475415162036</v>
      </c>
    </row>
    <row r="96" spans="1:10" ht="20" customHeight="1" x14ac:dyDescent="0.45">
      <c r="A96" s="10" t="s">
        <v>186</v>
      </c>
      <c r="B96" s="11" t="s">
        <v>104</v>
      </c>
      <c r="C96" s="10" t="s">
        <v>68</v>
      </c>
      <c r="D96" s="11" t="s">
        <v>57</v>
      </c>
      <c r="E96" s="12">
        <v>966.3</v>
      </c>
      <c r="F96" s="13">
        <v>2</v>
      </c>
      <c r="G96" s="14">
        <v>0.15</v>
      </c>
      <c r="H96" s="10" t="s">
        <v>187</v>
      </c>
      <c r="I96" s="12">
        <v>328.54</v>
      </c>
      <c r="J96" s="15">
        <f t="shared" ca="1" si="2"/>
        <v>46323.475415162036</v>
      </c>
    </row>
    <row r="97" spans="1:10" ht="20" customHeight="1" x14ac:dyDescent="0.45">
      <c r="A97" s="16" t="s">
        <v>159</v>
      </c>
      <c r="B97" s="17" t="s">
        <v>64</v>
      </c>
      <c r="C97" s="16" t="s">
        <v>68</v>
      </c>
      <c r="D97" s="17" t="s">
        <v>57</v>
      </c>
      <c r="E97" s="18">
        <v>917.48</v>
      </c>
      <c r="F97" s="19">
        <v>6</v>
      </c>
      <c r="G97" s="20">
        <v>0</v>
      </c>
      <c r="H97" s="16" t="s">
        <v>188</v>
      </c>
      <c r="I97" s="18">
        <v>366.99</v>
      </c>
      <c r="J97" s="21">
        <f t="shared" ca="1" si="2"/>
        <v>46323.475415162036</v>
      </c>
    </row>
    <row r="98" spans="1:10" ht="20" customHeight="1" x14ac:dyDescent="0.45">
      <c r="A98" s="10" t="s">
        <v>95</v>
      </c>
      <c r="B98" s="11" t="s">
        <v>130</v>
      </c>
      <c r="C98" s="10" t="s">
        <v>56</v>
      </c>
      <c r="D98" s="11" t="s">
        <v>76</v>
      </c>
      <c r="E98" s="12">
        <v>1172.97</v>
      </c>
      <c r="F98" s="13">
        <v>7</v>
      </c>
      <c r="G98" s="14">
        <v>0.15</v>
      </c>
      <c r="H98" s="10" t="s">
        <v>189</v>
      </c>
      <c r="I98" s="12">
        <v>348.96</v>
      </c>
      <c r="J98" s="15">
        <f t="shared" ref="J98:J129" ca="1" si="3">NOW()</f>
        <v>46323.475415162036</v>
      </c>
    </row>
    <row r="99" spans="1:10" ht="20" customHeight="1" x14ac:dyDescent="0.45">
      <c r="A99" s="16" t="s">
        <v>124</v>
      </c>
      <c r="B99" s="17" t="s">
        <v>71</v>
      </c>
      <c r="C99" s="16" t="s">
        <v>72</v>
      </c>
      <c r="D99" s="17" t="s">
        <v>61</v>
      </c>
      <c r="E99" s="18">
        <v>1205.82</v>
      </c>
      <c r="F99" s="19">
        <v>11</v>
      </c>
      <c r="G99" s="20">
        <v>0.1</v>
      </c>
      <c r="H99" s="16" t="s">
        <v>189</v>
      </c>
      <c r="I99" s="18">
        <v>542.62</v>
      </c>
      <c r="J99" s="21">
        <f t="shared" ca="1" si="3"/>
        <v>46323.475415162036</v>
      </c>
    </row>
    <row r="100" spans="1:10" ht="20" customHeight="1" x14ac:dyDescent="0.45">
      <c r="A100" s="10" t="s">
        <v>63</v>
      </c>
      <c r="B100" s="11" t="s">
        <v>143</v>
      </c>
      <c r="C100" s="10" t="s">
        <v>56</v>
      </c>
      <c r="D100" s="11" t="s">
        <v>90</v>
      </c>
      <c r="E100" s="12">
        <v>826.93</v>
      </c>
      <c r="F100" s="13">
        <v>10</v>
      </c>
      <c r="G100" s="14">
        <v>0.2</v>
      </c>
      <c r="H100" s="10" t="s">
        <v>190</v>
      </c>
      <c r="I100" s="12">
        <v>297.69</v>
      </c>
      <c r="J100" s="15">
        <f t="shared" ca="1" si="3"/>
        <v>46323.475415162036</v>
      </c>
    </row>
    <row r="101" spans="1:10" ht="20" customHeight="1" x14ac:dyDescent="0.45">
      <c r="A101" s="16" t="s">
        <v>151</v>
      </c>
      <c r="B101" s="17" t="s">
        <v>71</v>
      </c>
      <c r="C101" s="16" t="s">
        <v>85</v>
      </c>
      <c r="D101" s="17" t="s">
        <v>61</v>
      </c>
      <c r="E101" s="18">
        <v>902.19</v>
      </c>
      <c r="F101" s="19">
        <v>12</v>
      </c>
      <c r="G101" s="20">
        <v>0</v>
      </c>
      <c r="H101" s="16" t="s">
        <v>190</v>
      </c>
      <c r="I101" s="18">
        <v>451.1</v>
      </c>
      <c r="J101" s="21">
        <f t="shared" ca="1" si="3"/>
        <v>46323.475415162036</v>
      </c>
    </row>
    <row r="102" spans="1:10" ht="20" customHeight="1" x14ac:dyDescent="0.45">
      <c r="A102" s="10" t="s">
        <v>184</v>
      </c>
      <c r="B102" s="11" t="s">
        <v>89</v>
      </c>
      <c r="C102" s="10" t="s">
        <v>72</v>
      </c>
      <c r="D102" s="11" t="s">
        <v>57</v>
      </c>
      <c r="E102" s="12">
        <v>585.97</v>
      </c>
      <c r="F102" s="13">
        <v>17</v>
      </c>
      <c r="G102" s="14">
        <v>0.1</v>
      </c>
      <c r="H102" s="10" t="s">
        <v>191</v>
      </c>
      <c r="I102" s="12">
        <v>210.95</v>
      </c>
      <c r="J102" s="15">
        <f t="shared" ca="1" si="3"/>
        <v>46323.475415162036</v>
      </c>
    </row>
    <row r="103" spans="1:10" ht="20" customHeight="1" x14ac:dyDescent="0.45">
      <c r="A103" s="16" t="s">
        <v>129</v>
      </c>
      <c r="B103" s="17" t="s">
        <v>75</v>
      </c>
      <c r="C103" s="16" t="s">
        <v>72</v>
      </c>
      <c r="D103" s="17" t="s">
        <v>61</v>
      </c>
      <c r="E103" s="18">
        <v>990.19</v>
      </c>
      <c r="F103" s="19">
        <v>8</v>
      </c>
      <c r="G103" s="20">
        <v>0.1</v>
      </c>
      <c r="H103" s="16" t="s">
        <v>191</v>
      </c>
      <c r="I103" s="18">
        <v>445.59</v>
      </c>
      <c r="J103" s="21">
        <f t="shared" ca="1" si="3"/>
        <v>46323.475415162036</v>
      </c>
    </row>
    <row r="104" spans="1:10" ht="20" customHeight="1" x14ac:dyDescent="0.45">
      <c r="A104" s="10" t="s">
        <v>100</v>
      </c>
      <c r="B104" s="11" t="s">
        <v>122</v>
      </c>
      <c r="C104" s="10" t="s">
        <v>85</v>
      </c>
      <c r="D104" s="11" t="s">
        <v>69</v>
      </c>
      <c r="E104" s="12">
        <v>1014.09</v>
      </c>
      <c r="F104" s="13">
        <v>13</v>
      </c>
      <c r="G104" s="14">
        <v>0.2</v>
      </c>
      <c r="H104" s="10" t="s">
        <v>192</v>
      </c>
      <c r="I104" s="12">
        <v>202.82</v>
      </c>
      <c r="J104" s="15">
        <f t="shared" ca="1" si="3"/>
        <v>46323.475415162036</v>
      </c>
    </row>
    <row r="105" spans="1:10" ht="20" customHeight="1" x14ac:dyDescent="0.45">
      <c r="A105" s="16" t="s">
        <v>59</v>
      </c>
      <c r="B105" s="17" t="s">
        <v>107</v>
      </c>
      <c r="C105" s="16" t="s">
        <v>72</v>
      </c>
      <c r="D105" s="17" t="s">
        <v>69</v>
      </c>
      <c r="E105" s="18">
        <v>925.29</v>
      </c>
      <c r="F105" s="19">
        <v>17</v>
      </c>
      <c r="G105" s="20">
        <v>0</v>
      </c>
      <c r="H105" s="16" t="s">
        <v>193</v>
      </c>
      <c r="I105" s="18">
        <v>231.32</v>
      </c>
      <c r="J105" s="21">
        <f t="shared" ca="1" si="3"/>
        <v>46323.475415162036</v>
      </c>
    </row>
    <row r="106" spans="1:10" ht="20" customHeight="1" x14ac:dyDescent="0.45">
      <c r="A106" s="10" t="s">
        <v>119</v>
      </c>
      <c r="B106" s="11" t="s">
        <v>104</v>
      </c>
      <c r="C106" s="10" t="s">
        <v>65</v>
      </c>
      <c r="D106" s="11" t="s">
        <v>76</v>
      </c>
      <c r="E106" s="12">
        <v>1286.54</v>
      </c>
      <c r="F106" s="13">
        <v>8</v>
      </c>
      <c r="G106" s="14">
        <v>0</v>
      </c>
      <c r="H106" s="10" t="s">
        <v>194</v>
      </c>
      <c r="I106" s="12">
        <v>450.29</v>
      </c>
      <c r="J106" s="15">
        <f t="shared" ca="1" si="3"/>
        <v>46323.475415162036</v>
      </c>
    </row>
    <row r="107" spans="1:10" ht="20" customHeight="1" x14ac:dyDescent="0.45">
      <c r="A107" s="16" t="s">
        <v>88</v>
      </c>
      <c r="B107" s="17" t="s">
        <v>143</v>
      </c>
      <c r="C107" s="16" t="s">
        <v>68</v>
      </c>
      <c r="D107" s="17" t="s">
        <v>57</v>
      </c>
      <c r="E107" s="18">
        <v>961.62</v>
      </c>
      <c r="F107" s="19">
        <v>8</v>
      </c>
      <c r="G107" s="20">
        <v>0.2</v>
      </c>
      <c r="H107" s="16" t="s">
        <v>195</v>
      </c>
      <c r="I107" s="18">
        <v>307.72000000000003</v>
      </c>
      <c r="J107" s="21">
        <f t="shared" ca="1" si="3"/>
        <v>46323.475415162036</v>
      </c>
    </row>
    <row r="108" spans="1:10" ht="20" customHeight="1" x14ac:dyDescent="0.45">
      <c r="A108" s="10" t="s">
        <v>100</v>
      </c>
      <c r="B108" s="11" t="s">
        <v>71</v>
      </c>
      <c r="C108" s="10" t="s">
        <v>65</v>
      </c>
      <c r="D108" s="11" t="s">
        <v>57</v>
      </c>
      <c r="E108" s="12">
        <v>1081.1400000000001</v>
      </c>
      <c r="F108" s="13">
        <v>19</v>
      </c>
      <c r="G108" s="14">
        <v>0.15</v>
      </c>
      <c r="H108" s="10" t="s">
        <v>195</v>
      </c>
      <c r="I108" s="12">
        <v>367.59</v>
      </c>
      <c r="J108" s="15">
        <f t="shared" ca="1" si="3"/>
        <v>46323.475415162036</v>
      </c>
    </row>
    <row r="109" spans="1:10" ht="20" customHeight="1" x14ac:dyDescent="0.45">
      <c r="A109" s="16" t="s">
        <v>126</v>
      </c>
      <c r="B109" s="17" t="s">
        <v>71</v>
      </c>
      <c r="C109" s="16" t="s">
        <v>56</v>
      </c>
      <c r="D109" s="17" t="s">
        <v>61</v>
      </c>
      <c r="E109" s="18">
        <v>1923.66</v>
      </c>
      <c r="F109" s="19">
        <v>9</v>
      </c>
      <c r="G109" s="20">
        <v>0.2</v>
      </c>
      <c r="H109" s="16" t="s">
        <v>196</v>
      </c>
      <c r="I109" s="18">
        <v>769.46</v>
      </c>
      <c r="J109" s="21">
        <f t="shared" ca="1" si="3"/>
        <v>46323.475415162036</v>
      </c>
    </row>
    <row r="110" spans="1:10" ht="20" customHeight="1" x14ac:dyDescent="0.45">
      <c r="A110" s="10" t="s">
        <v>119</v>
      </c>
      <c r="B110" s="11" t="s">
        <v>148</v>
      </c>
      <c r="C110" s="10" t="s">
        <v>85</v>
      </c>
      <c r="D110" s="11" t="s">
        <v>61</v>
      </c>
      <c r="E110" s="12">
        <v>728.71</v>
      </c>
      <c r="F110" s="13">
        <v>14</v>
      </c>
      <c r="G110" s="14">
        <v>0.1</v>
      </c>
      <c r="H110" s="10" t="s">
        <v>197</v>
      </c>
      <c r="I110" s="12">
        <v>327.92</v>
      </c>
      <c r="J110" s="15">
        <f t="shared" ca="1" si="3"/>
        <v>46323.475415162036</v>
      </c>
    </row>
    <row r="111" spans="1:10" ht="20" customHeight="1" x14ac:dyDescent="0.45">
      <c r="A111" s="16" t="s">
        <v>54</v>
      </c>
      <c r="B111" s="17" t="s">
        <v>84</v>
      </c>
      <c r="C111" s="16" t="s">
        <v>85</v>
      </c>
      <c r="D111" s="17" t="s">
        <v>61</v>
      </c>
      <c r="E111" s="18">
        <v>1301.8900000000001</v>
      </c>
      <c r="F111" s="19">
        <v>7</v>
      </c>
      <c r="G111" s="20">
        <v>0.15</v>
      </c>
      <c r="H111" s="16" t="s">
        <v>197</v>
      </c>
      <c r="I111" s="18">
        <v>553.29999999999995</v>
      </c>
      <c r="J111" s="21">
        <f t="shared" ca="1" si="3"/>
        <v>46323.475415162036</v>
      </c>
    </row>
    <row r="112" spans="1:10" ht="20" customHeight="1" x14ac:dyDescent="0.45">
      <c r="A112" s="10" t="s">
        <v>165</v>
      </c>
      <c r="B112" s="11" t="s">
        <v>148</v>
      </c>
      <c r="C112" s="10" t="s">
        <v>65</v>
      </c>
      <c r="D112" s="11" t="s">
        <v>57</v>
      </c>
      <c r="E112" s="12">
        <v>980.18</v>
      </c>
      <c r="F112" s="13">
        <v>16</v>
      </c>
      <c r="G112" s="14">
        <v>0.1</v>
      </c>
      <c r="H112" s="10" t="s">
        <v>198</v>
      </c>
      <c r="I112" s="12">
        <v>352.86</v>
      </c>
      <c r="J112" s="15">
        <f t="shared" ca="1" si="3"/>
        <v>46323.475415162036</v>
      </c>
    </row>
    <row r="113" spans="1:10" ht="20" customHeight="1" x14ac:dyDescent="0.45">
      <c r="A113" s="16" t="s">
        <v>184</v>
      </c>
      <c r="B113" s="17" t="s">
        <v>71</v>
      </c>
      <c r="C113" s="16" t="s">
        <v>56</v>
      </c>
      <c r="D113" s="17" t="s">
        <v>61</v>
      </c>
      <c r="E113" s="18">
        <v>697.57</v>
      </c>
      <c r="F113" s="19">
        <v>17</v>
      </c>
      <c r="G113" s="20">
        <v>0.1</v>
      </c>
      <c r="H113" s="16" t="s">
        <v>199</v>
      </c>
      <c r="I113" s="18">
        <v>313.91000000000003</v>
      </c>
      <c r="J113" s="21">
        <f t="shared" ca="1" si="3"/>
        <v>46323.475415162036</v>
      </c>
    </row>
    <row r="114" spans="1:10" ht="20" customHeight="1" x14ac:dyDescent="0.45">
      <c r="A114" s="10" t="s">
        <v>103</v>
      </c>
      <c r="B114" s="11" t="s">
        <v>167</v>
      </c>
      <c r="C114" s="10" t="s">
        <v>56</v>
      </c>
      <c r="D114" s="11" t="s">
        <v>76</v>
      </c>
      <c r="E114" s="12">
        <v>1193.6099999999999</v>
      </c>
      <c r="F114" s="13">
        <v>1</v>
      </c>
      <c r="G114" s="14">
        <v>0.15</v>
      </c>
      <c r="H114" s="10" t="s">
        <v>199</v>
      </c>
      <c r="I114" s="12">
        <v>355.1</v>
      </c>
      <c r="J114" s="15">
        <f t="shared" ca="1" si="3"/>
        <v>46323.475415162036</v>
      </c>
    </row>
    <row r="115" spans="1:10" ht="20" customHeight="1" x14ac:dyDescent="0.45">
      <c r="A115" s="16" t="s">
        <v>83</v>
      </c>
      <c r="B115" s="17" t="s">
        <v>89</v>
      </c>
      <c r="C115" s="16" t="s">
        <v>68</v>
      </c>
      <c r="D115" s="17" t="s">
        <v>69</v>
      </c>
      <c r="E115" s="18">
        <v>771.02</v>
      </c>
      <c r="F115" s="19">
        <v>1</v>
      </c>
      <c r="G115" s="20">
        <v>0</v>
      </c>
      <c r="H115" s="16" t="s">
        <v>200</v>
      </c>
      <c r="I115" s="18">
        <v>192.76</v>
      </c>
      <c r="J115" s="21">
        <f t="shared" ca="1" si="3"/>
        <v>46323.475415162036</v>
      </c>
    </row>
    <row r="116" spans="1:10" ht="20" customHeight="1" x14ac:dyDescent="0.45">
      <c r="A116" s="10" t="s">
        <v>151</v>
      </c>
      <c r="B116" s="11" t="s">
        <v>163</v>
      </c>
      <c r="C116" s="10" t="s">
        <v>72</v>
      </c>
      <c r="D116" s="11" t="s">
        <v>61</v>
      </c>
      <c r="E116" s="12">
        <v>661.09</v>
      </c>
      <c r="F116" s="13">
        <v>1</v>
      </c>
      <c r="G116" s="14">
        <v>0.2</v>
      </c>
      <c r="H116" s="10" t="s">
        <v>201</v>
      </c>
      <c r="I116" s="12">
        <v>264.44</v>
      </c>
      <c r="J116" s="15">
        <f t="shared" ca="1" si="3"/>
        <v>46323.475415162036</v>
      </c>
    </row>
    <row r="117" spans="1:10" ht="20" customHeight="1" x14ac:dyDescent="0.45">
      <c r="A117" s="16" t="s">
        <v>59</v>
      </c>
      <c r="B117" s="17" t="s">
        <v>120</v>
      </c>
      <c r="C117" s="16" t="s">
        <v>56</v>
      </c>
      <c r="D117" s="17" t="s">
        <v>69</v>
      </c>
      <c r="E117" s="18">
        <v>688.83</v>
      </c>
      <c r="F117" s="19">
        <v>15</v>
      </c>
      <c r="G117" s="20">
        <v>0</v>
      </c>
      <c r="H117" s="16" t="s">
        <v>202</v>
      </c>
      <c r="I117" s="18">
        <v>172.21</v>
      </c>
      <c r="J117" s="21">
        <f t="shared" ca="1" si="3"/>
        <v>46323.475415162036</v>
      </c>
    </row>
    <row r="118" spans="1:10" ht="20" customHeight="1" x14ac:dyDescent="0.45">
      <c r="A118" s="10" t="s">
        <v>182</v>
      </c>
      <c r="B118" s="11" t="s">
        <v>79</v>
      </c>
      <c r="C118" s="10" t="s">
        <v>85</v>
      </c>
      <c r="D118" s="11" t="s">
        <v>57</v>
      </c>
      <c r="E118" s="12">
        <v>1249.0999999999999</v>
      </c>
      <c r="F118" s="13">
        <v>4</v>
      </c>
      <c r="G118" s="14">
        <v>0.05</v>
      </c>
      <c r="H118" s="10" t="s">
        <v>203</v>
      </c>
      <c r="I118" s="12">
        <v>474.66</v>
      </c>
      <c r="J118" s="15">
        <f t="shared" ca="1" si="3"/>
        <v>46323.475415162036</v>
      </c>
    </row>
    <row r="119" spans="1:10" ht="20" customHeight="1" x14ac:dyDescent="0.45">
      <c r="A119" s="16" t="s">
        <v>100</v>
      </c>
      <c r="B119" s="17" t="s">
        <v>71</v>
      </c>
      <c r="C119" s="16" t="s">
        <v>65</v>
      </c>
      <c r="D119" s="17" t="s">
        <v>90</v>
      </c>
      <c r="E119" s="18">
        <v>1014.22</v>
      </c>
      <c r="F119" s="19">
        <v>14</v>
      </c>
      <c r="G119" s="20">
        <v>0.05</v>
      </c>
      <c r="H119" s="16" t="s">
        <v>204</v>
      </c>
      <c r="I119" s="18">
        <v>433.58</v>
      </c>
      <c r="J119" s="21">
        <f t="shared" ca="1" si="3"/>
        <v>46323.475415162036</v>
      </c>
    </row>
    <row r="120" spans="1:10" ht="20" customHeight="1" x14ac:dyDescent="0.45">
      <c r="A120" s="10" t="s">
        <v>119</v>
      </c>
      <c r="B120" s="11" t="s">
        <v>107</v>
      </c>
      <c r="C120" s="10" t="s">
        <v>65</v>
      </c>
      <c r="D120" s="11" t="s">
        <v>57</v>
      </c>
      <c r="E120" s="12">
        <v>1010.58</v>
      </c>
      <c r="F120" s="13">
        <v>2</v>
      </c>
      <c r="G120" s="14">
        <v>0.15</v>
      </c>
      <c r="H120" s="10" t="s">
        <v>205</v>
      </c>
      <c r="I120" s="12">
        <v>343.6</v>
      </c>
      <c r="J120" s="15">
        <f t="shared" ca="1" si="3"/>
        <v>46323.475415162036</v>
      </c>
    </row>
    <row r="121" spans="1:10" ht="20" customHeight="1" x14ac:dyDescent="0.45">
      <c r="A121" s="16" t="s">
        <v>80</v>
      </c>
      <c r="B121" s="17" t="s">
        <v>128</v>
      </c>
      <c r="C121" s="16" t="s">
        <v>72</v>
      </c>
      <c r="D121" s="17" t="s">
        <v>76</v>
      </c>
      <c r="E121" s="18">
        <v>957.29</v>
      </c>
      <c r="F121" s="19">
        <v>4</v>
      </c>
      <c r="G121" s="20">
        <v>0.05</v>
      </c>
      <c r="H121" s="16" t="s">
        <v>205</v>
      </c>
      <c r="I121" s="18">
        <v>318.3</v>
      </c>
      <c r="J121" s="21">
        <f t="shared" ca="1" si="3"/>
        <v>46323.475415162036</v>
      </c>
    </row>
    <row r="122" spans="1:10" ht="20" customHeight="1" x14ac:dyDescent="0.45">
      <c r="A122" s="10" t="s">
        <v>78</v>
      </c>
      <c r="B122" s="11" t="s">
        <v>102</v>
      </c>
      <c r="C122" s="10" t="s">
        <v>72</v>
      </c>
      <c r="D122" s="11" t="s">
        <v>76</v>
      </c>
      <c r="E122" s="12">
        <v>1077.92</v>
      </c>
      <c r="F122" s="13">
        <v>3</v>
      </c>
      <c r="G122" s="14">
        <v>0.05</v>
      </c>
      <c r="H122" s="10" t="s">
        <v>206</v>
      </c>
      <c r="I122" s="12">
        <v>358.41</v>
      </c>
      <c r="J122" s="15">
        <f t="shared" ca="1" si="3"/>
        <v>46323.475415162036</v>
      </c>
    </row>
    <row r="123" spans="1:10" ht="20" customHeight="1" x14ac:dyDescent="0.45">
      <c r="A123" s="16" t="s">
        <v>116</v>
      </c>
      <c r="B123" s="17" t="s">
        <v>112</v>
      </c>
      <c r="C123" s="16" t="s">
        <v>68</v>
      </c>
      <c r="D123" s="17" t="s">
        <v>61</v>
      </c>
      <c r="E123" s="18">
        <v>1163.01</v>
      </c>
      <c r="F123" s="19">
        <v>5</v>
      </c>
      <c r="G123" s="20">
        <v>0</v>
      </c>
      <c r="H123" s="16" t="s">
        <v>207</v>
      </c>
      <c r="I123" s="18">
        <v>581.5</v>
      </c>
      <c r="J123" s="21">
        <f t="shared" ca="1" si="3"/>
        <v>46323.475415162036</v>
      </c>
    </row>
    <row r="124" spans="1:10" ht="20" customHeight="1" x14ac:dyDescent="0.45">
      <c r="A124" s="10" t="s">
        <v>119</v>
      </c>
      <c r="B124" s="11" t="s">
        <v>102</v>
      </c>
      <c r="C124" s="10" t="s">
        <v>65</v>
      </c>
      <c r="D124" s="11" t="s">
        <v>90</v>
      </c>
      <c r="E124" s="12">
        <v>1014.56</v>
      </c>
      <c r="F124" s="13">
        <v>10</v>
      </c>
      <c r="G124" s="14">
        <v>0.1</v>
      </c>
      <c r="H124" s="10" t="s">
        <v>208</v>
      </c>
      <c r="I124" s="12">
        <v>410.9</v>
      </c>
      <c r="J124" s="15">
        <f t="shared" ca="1" si="3"/>
        <v>46323.475415162036</v>
      </c>
    </row>
    <row r="125" spans="1:10" ht="20" customHeight="1" x14ac:dyDescent="0.45">
      <c r="A125" s="16" t="s">
        <v>54</v>
      </c>
      <c r="B125" s="17" t="s">
        <v>64</v>
      </c>
      <c r="C125" s="16" t="s">
        <v>68</v>
      </c>
      <c r="D125" s="17" t="s">
        <v>69</v>
      </c>
      <c r="E125" s="18">
        <v>718.04</v>
      </c>
      <c r="F125" s="19">
        <v>14</v>
      </c>
      <c r="G125" s="20">
        <v>0</v>
      </c>
      <c r="H125" s="16" t="s">
        <v>209</v>
      </c>
      <c r="I125" s="18">
        <v>179.51</v>
      </c>
      <c r="J125" s="21">
        <f t="shared" ca="1" si="3"/>
        <v>46323.475415162036</v>
      </c>
    </row>
    <row r="126" spans="1:10" ht="20" customHeight="1" x14ac:dyDescent="0.45">
      <c r="A126" s="10" t="s">
        <v>171</v>
      </c>
      <c r="B126" s="11" t="s">
        <v>64</v>
      </c>
      <c r="C126" s="10" t="s">
        <v>85</v>
      </c>
      <c r="D126" s="11" t="s">
        <v>61</v>
      </c>
      <c r="E126" s="12">
        <v>1277.8499999999999</v>
      </c>
      <c r="F126" s="13">
        <v>18</v>
      </c>
      <c r="G126" s="14">
        <v>0.2</v>
      </c>
      <c r="H126" s="10" t="s">
        <v>209</v>
      </c>
      <c r="I126" s="12">
        <v>511.14</v>
      </c>
      <c r="J126" s="15">
        <f t="shared" ca="1" si="3"/>
        <v>46323.475415162036</v>
      </c>
    </row>
    <row r="127" spans="1:10" ht="20" customHeight="1" x14ac:dyDescent="0.45">
      <c r="A127" s="16" t="s">
        <v>165</v>
      </c>
      <c r="B127" s="17" t="s">
        <v>71</v>
      </c>
      <c r="C127" s="16" t="s">
        <v>72</v>
      </c>
      <c r="D127" s="17" t="s">
        <v>69</v>
      </c>
      <c r="E127" s="18">
        <v>706.73</v>
      </c>
      <c r="F127" s="19">
        <v>1</v>
      </c>
      <c r="G127" s="20">
        <v>0.15</v>
      </c>
      <c r="H127" s="16" t="s">
        <v>209</v>
      </c>
      <c r="I127" s="18">
        <v>150.18</v>
      </c>
      <c r="J127" s="21">
        <f t="shared" ca="1" si="3"/>
        <v>46323.475415162036</v>
      </c>
    </row>
    <row r="128" spans="1:10" ht="20" customHeight="1" x14ac:dyDescent="0.45">
      <c r="A128" s="10" t="s">
        <v>145</v>
      </c>
      <c r="B128" s="11" t="s">
        <v>112</v>
      </c>
      <c r="C128" s="10" t="s">
        <v>65</v>
      </c>
      <c r="D128" s="11" t="s">
        <v>69</v>
      </c>
      <c r="E128" s="12">
        <v>1410.59</v>
      </c>
      <c r="F128" s="13">
        <v>15</v>
      </c>
      <c r="G128" s="14">
        <v>0</v>
      </c>
      <c r="H128" s="10" t="s">
        <v>210</v>
      </c>
      <c r="I128" s="12">
        <v>352.65</v>
      </c>
      <c r="J128" s="15">
        <f t="shared" ca="1" si="3"/>
        <v>46323.475415162036</v>
      </c>
    </row>
    <row r="129" spans="1:10" ht="20" customHeight="1" x14ac:dyDescent="0.45">
      <c r="A129" s="16" t="s">
        <v>83</v>
      </c>
      <c r="B129" s="17" t="s">
        <v>130</v>
      </c>
      <c r="C129" s="16" t="s">
        <v>68</v>
      </c>
      <c r="D129" s="17" t="s">
        <v>76</v>
      </c>
      <c r="E129" s="18">
        <v>1350.33</v>
      </c>
      <c r="F129" s="19">
        <v>10</v>
      </c>
      <c r="G129" s="20">
        <v>0</v>
      </c>
      <c r="H129" s="16" t="s">
        <v>210</v>
      </c>
      <c r="I129" s="18">
        <v>472.62</v>
      </c>
      <c r="J129" s="21">
        <f t="shared" ca="1" si="3"/>
        <v>46323.475415162036</v>
      </c>
    </row>
    <row r="130" spans="1:10" ht="20" customHeight="1" x14ac:dyDescent="0.45">
      <c r="A130" s="10" t="s">
        <v>95</v>
      </c>
      <c r="B130" s="11" t="s">
        <v>102</v>
      </c>
      <c r="C130" s="10" t="s">
        <v>65</v>
      </c>
      <c r="D130" s="11" t="s">
        <v>69</v>
      </c>
      <c r="E130" s="12">
        <v>919.18</v>
      </c>
      <c r="F130" s="13">
        <v>4</v>
      </c>
      <c r="G130" s="14">
        <v>0.15</v>
      </c>
      <c r="H130" s="10" t="s">
        <v>210</v>
      </c>
      <c r="I130" s="12">
        <v>195.33</v>
      </c>
      <c r="J130" s="15">
        <f t="shared" ref="J130:J161" ca="1" si="4">NOW()</f>
        <v>46323.475415162036</v>
      </c>
    </row>
    <row r="131" spans="1:10" ht="20" customHeight="1" x14ac:dyDescent="0.45">
      <c r="A131" s="16" t="s">
        <v>184</v>
      </c>
      <c r="B131" s="17" t="s">
        <v>71</v>
      </c>
      <c r="C131" s="16" t="s">
        <v>56</v>
      </c>
      <c r="D131" s="17" t="s">
        <v>69</v>
      </c>
      <c r="E131" s="18">
        <v>258.51</v>
      </c>
      <c r="F131" s="19">
        <v>19</v>
      </c>
      <c r="G131" s="20">
        <v>0</v>
      </c>
      <c r="H131" s="16" t="s">
        <v>211</v>
      </c>
      <c r="I131" s="18">
        <v>64.63</v>
      </c>
      <c r="J131" s="21">
        <f t="shared" ca="1" si="4"/>
        <v>46323.475415162036</v>
      </c>
    </row>
    <row r="132" spans="1:10" ht="20" customHeight="1" x14ac:dyDescent="0.45">
      <c r="A132" s="10" t="s">
        <v>137</v>
      </c>
      <c r="B132" s="11" t="s">
        <v>130</v>
      </c>
      <c r="C132" s="10" t="s">
        <v>65</v>
      </c>
      <c r="D132" s="11" t="s">
        <v>57</v>
      </c>
      <c r="E132" s="12">
        <v>1213.48</v>
      </c>
      <c r="F132" s="13">
        <v>5</v>
      </c>
      <c r="G132" s="14">
        <v>0.05</v>
      </c>
      <c r="H132" s="10" t="s">
        <v>211</v>
      </c>
      <c r="I132" s="12">
        <v>461.12</v>
      </c>
      <c r="J132" s="15">
        <f t="shared" ca="1" si="4"/>
        <v>46323.475415162036</v>
      </c>
    </row>
    <row r="133" spans="1:10" ht="20" customHeight="1" x14ac:dyDescent="0.45">
      <c r="A133" s="16" t="s">
        <v>124</v>
      </c>
      <c r="B133" s="17" t="s">
        <v>89</v>
      </c>
      <c r="C133" s="16" t="s">
        <v>85</v>
      </c>
      <c r="D133" s="17" t="s">
        <v>57</v>
      </c>
      <c r="E133" s="18">
        <v>1150.28</v>
      </c>
      <c r="F133" s="19">
        <v>8</v>
      </c>
      <c r="G133" s="20">
        <v>0.05</v>
      </c>
      <c r="H133" s="16" t="s">
        <v>212</v>
      </c>
      <c r="I133" s="18">
        <v>437.11</v>
      </c>
      <c r="J133" s="21">
        <f t="shared" ca="1" si="4"/>
        <v>46323.475415162036</v>
      </c>
    </row>
    <row r="134" spans="1:10" ht="20" customHeight="1" x14ac:dyDescent="0.45">
      <c r="A134" s="10" t="s">
        <v>88</v>
      </c>
      <c r="B134" s="11" t="s">
        <v>167</v>
      </c>
      <c r="C134" s="10" t="s">
        <v>68</v>
      </c>
      <c r="D134" s="11" t="s">
        <v>76</v>
      </c>
      <c r="E134" s="12">
        <v>853.86</v>
      </c>
      <c r="F134" s="13">
        <v>8</v>
      </c>
      <c r="G134" s="14">
        <v>0.1</v>
      </c>
      <c r="H134" s="10" t="s">
        <v>212</v>
      </c>
      <c r="I134" s="12">
        <v>268.97000000000003</v>
      </c>
      <c r="J134" s="15">
        <f t="shared" ca="1" si="4"/>
        <v>46323.475415162036</v>
      </c>
    </row>
    <row r="135" spans="1:10" ht="20" customHeight="1" x14ac:dyDescent="0.45">
      <c r="A135" s="16" t="s">
        <v>186</v>
      </c>
      <c r="B135" s="17" t="s">
        <v>102</v>
      </c>
      <c r="C135" s="16" t="s">
        <v>68</v>
      </c>
      <c r="D135" s="17" t="s">
        <v>69</v>
      </c>
      <c r="E135" s="18">
        <v>1061.04</v>
      </c>
      <c r="F135" s="19">
        <v>1</v>
      </c>
      <c r="G135" s="20">
        <v>0</v>
      </c>
      <c r="H135" s="16" t="s">
        <v>213</v>
      </c>
      <c r="I135" s="18">
        <v>265.26</v>
      </c>
      <c r="J135" s="21">
        <f t="shared" ca="1" si="4"/>
        <v>46323.475415162036</v>
      </c>
    </row>
    <row r="136" spans="1:10" ht="20" customHeight="1" x14ac:dyDescent="0.45">
      <c r="A136" s="10" t="s">
        <v>78</v>
      </c>
      <c r="B136" s="11" t="s">
        <v>98</v>
      </c>
      <c r="C136" s="10" t="s">
        <v>56</v>
      </c>
      <c r="D136" s="11" t="s">
        <v>69</v>
      </c>
      <c r="E136" s="12">
        <v>894.55</v>
      </c>
      <c r="F136" s="13">
        <v>19</v>
      </c>
      <c r="G136" s="14">
        <v>0.2</v>
      </c>
      <c r="H136" s="10" t="s">
        <v>214</v>
      </c>
      <c r="I136" s="12">
        <v>178.91</v>
      </c>
      <c r="J136" s="15">
        <f t="shared" ca="1" si="4"/>
        <v>46323.475415162036</v>
      </c>
    </row>
    <row r="137" spans="1:10" ht="20" customHeight="1" x14ac:dyDescent="0.45">
      <c r="A137" s="16" t="s">
        <v>74</v>
      </c>
      <c r="B137" s="17" t="s">
        <v>89</v>
      </c>
      <c r="C137" s="16" t="s">
        <v>72</v>
      </c>
      <c r="D137" s="17" t="s">
        <v>90</v>
      </c>
      <c r="E137" s="18">
        <v>833.91</v>
      </c>
      <c r="F137" s="19">
        <v>3</v>
      </c>
      <c r="G137" s="20">
        <v>0.05</v>
      </c>
      <c r="H137" s="16" t="s">
        <v>215</v>
      </c>
      <c r="I137" s="18">
        <v>356.5</v>
      </c>
      <c r="J137" s="21">
        <f t="shared" ca="1" si="4"/>
        <v>46323.475415162036</v>
      </c>
    </row>
    <row r="138" spans="1:10" ht="20" customHeight="1" x14ac:dyDescent="0.45">
      <c r="A138" s="10" t="s">
        <v>126</v>
      </c>
      <c r="B138" s="11" t="s">
        <v>167</v>
      </c>
      <c r="C138" s="10" t="s">
        <v>56</v>
      </c>
      <c r="D138" s="11" t="s">
        <v>76</v>
      </c>
      <c r="E138" s="12">
        <v>820.19</v>
      </c>
      <c r="F138" s="13">
        <v>4</v>
      </c>
      <c r="G138" s="14">
        <v>0.2</v>
      </c>
      <c r="H138" s="10" t="s">
        <v>216</v>
      </c>
      <c r="I138" s="12">
        <v>229.65</v>
      </c>
      <c r="J138" s="15">
        <f t="shared" ca="1" si="4"/>
        <v>46323.475415162036</v>
      </c>
    </row>
    <row r="139" spans="1:10" ht="20" customHeight="1" x14ac:dyDescent="0.45">
      <c r="A139" s="16" t="s">
        <v>126</v>
      </c>
      <c r="B139" s="17" t="s">
        <v>89</v>
      </c>
      <c r="C139" s="16" t="s">
        <v>85</v>
      </c>
      <c r="D139" s="17" t="s">
        <v>69</v>
      </c>
      <c r="E139" s="18">
        <v>511.74</v>
      </c>
      <c r="F139" s="19">
        <v>8</v>
      </c>
      <c r="G139" s="20">
        <v>0.05</v>
      </c>
      <c r="H139" s="16" t="s">
        <v>217</v>
      </c>
      <c r="I139" s="18">
        <v>121.54</v>
      </c>
      <c r="J139" s="21">
        <f t="shared" ca="1" si="4"/>
        <v>46323.475415162036</v>
      </c>
    </row>
    <row r="140" spans="1:10" ht="20" customHeight="1" x14ac:dyDescent="0.45">
      <c r="A140" s="10" t="s">
        <v>145</v>
      </c>
      <c r="B140" s="11" t="s">
        <v>130</v>
      </c>
      <c r="C140" s="10" t="s">
        <v>68</v>
      </c>
      <c r="D140" s="11" t="s">
        <v>76</v>
      </c>
      <c r="E140" s="12">
        <v>806.03</v>
      </c>
      <c r="F140" s="13">
        <v>19</v>
      </c>
      <c r="G140" s="14">
        <v>0.05</v>
      </c>
      <c r="H140" s="10" t="s">
        <v>218</v>
      </c>
      <c r="I140" s="12">
        <v>268</v>
      </c>
      <c r="J140" s="15">
        <f t="shared" ca="1" si="4"/>
        <v>46323.475415162036</v>
      </c>
    </row>
    <row r="141" spans="1:10" ht="20" customHeight="1" x14ac:dyDescent="0.45">
      <c r="A141" s="16" t="s">
        <v>78</v>
      </c>
      <c r="B141" s="17" t="s">
        <v>75</v>
      </c>
      <c r="C141" s="16" t="s">
        <v>85</v>
      </c>
      <c r="D141" s="17" t="s">
        <v>76</v>
      </c>
      <c r="E141" s="18">
        <v>1432.47</v>
      </c>
      <c r="F141" s="19">
        <v>16</v>
      </c>
      <c r="G141" s="20">
        <v>0.15</v>
      </c>
      <c r="H141" s="16" t="s">
        <v>219</v>
      </c>
      <c r="I141" s="18">
        <v>426.16</v>
      </c>
      <c r="J141" s="21">
        <f t="shared" ca="1" si="4"/>
        <v>46323.475415162036</v>
      </c>
    </row>
    <row r="142" spans="1:10" ht="20" customHeight="1" x14ac:dyDescent="0.45">
      <c r="A142" s="10" t="s">
        <v>184</v>
      </c>
      <c r="B142" s="11" t="s">
        <v>79</v>
      </c>
      <c r="C142" s="10" t="s">
        <v>85</v>
      </c>
      <c r="D142" s="11" t="s">
        <v>69</v>
      </c>
      <c r="E142" s="12">
        <v>1488.58</v>
      </c>
      <c r="F142" s="13">
        <v>10</v>
      </c>
      <c r="G142" s="14">
        <v>0.15</v>
      </c>
      <c r="H142" s="10" t="s">
        <v>219</v>
      </c>
      <c r="I142" s="12">
        <v>316.32</v>
      </c>
      <c r="J142" s="15">
        <f t="shared" ca="1" si="4"/>
        <v>46323.475415162036</v>
      </c>
    </row>
    <row r="143" spans="1:10" ht="20" customHeight="1" x14ac:dyDescent="0.45">
      <c r="A143" s="16" t="s">
        <v>80</v>
      </c>
      <c r="B143" s="17" t="s">
        <v>148</v>
      </c>
      <c r="C143" s="16" t="s">
        <v>65</v>
      </c>
      <c r="D143" s="17" t="s">
        <v>57</v>
      </c>
      <c r="E143" s="18">
        <v>1231.26</v>
      </c>
      <c r="F143" s="19">
        <v>9</v>
      </c>
      <c r="G143" s="20">
        <v>0</v>
      </c>
      <c r="H143" s="16" t="s">
        <v>220</v>
      </c>
      <c r="I143" s="18">
        <v>492.5</v>
      </c>
      <c r="J143" s="21">
        <f t="shared" ca="1" si="4"/>
        <v>46323.475415162036</v>
      </c>
    </row>
    <row r="144" spans="1:10" ht="20" customHeight="1" x14ac:dyDescent="0.45">
      <c r="A144" s="10" t="s">
        <v>80</v>
      </c>
      <c r="B144" s="11" t="s">
        <v>98</v>
      </c>
      <c r="C144" s="10" t="s">
        <v>56</v>
      </c>
      <c r="D144" s="11" t="s">
        <v>69</v>
      </c>
      <c r="E144" s="12">
        <v>1161.67</v>
      </c>
      <c r="F144" s="13">
        <v>19</v>
      </c>
      <c r="G144" s="14">
        <v>0.2</v>
      </c>
      <c r="H144" s="10" t="s">
        <v>221</v>
      </c>
      <c r="I144" s="12">
        <v>232.33</v>
      </c>
      <c r="J144" s="15">
        <f t="shared" ca="1" si="4"/>
        <v>46323.475415162036</v>
      </c>
    </row>
    <row r="145" spans="1:10" ht="20" customHeight="1" x14ac:dyDescent="0.45">
      <c r="A145" s="16" t="s">
        <v>109</v>
      </c>
      <c r="B145" s="17" t="s">
        <v>102</v>
      </c>
      <c r="C145" s="16" t="s">
        <v>85</v>
      </c>
      <c r="D145" s="17" t="s">
        <v>90</v>
      </c>
      <c r="E145" s="18">
        <v>388.23</v>
      </c>
      <c r="F145" s="19">
        <v>16</v>
      </c>
      <c r="G145" s="20">
        <v>0.05</v>
      </c>
      <c r="H145" s="16" t="s">
        <v>222</v>
      </c>
      <c r="I145" s="18">
        <v>165.97</v>
      </c>
      <c r="J145" s="21">
        <f t="shared" ca="1" si="4"/>
        <v>46323.475415162036</v>
      </c>
    </row>
    <row r="146" spans="1:10" ht="20" customHeight="1" x14ac:dyDescent="0.45">
      <c r="A146" s="10" t="s">
        <v>171</v>
      </c>
      <c r="B146" s="11" t="s">
        <v>81</v>
      </c>
      <c r="C146" s="10" t="s">
        <v>72</v>
      </c>
      <c r="D146" s="11" t="s">
        <v>61</v>
      </c>
      <c r="E146" s="12">
        <v>1589.42</v>
      </c>
      <c r="F146" s="13">
        <v>6</v>
      </c>
      <c r="G146" s="14">
        <v>0.15</v>
      </c>
      <c r="H146" s="10" t="s">
        <v>223</v>
      </c>
      <c r="I146" s="12">
        <v>675.5</v>
      </c>
      <c r="J146" s="15">
        <f t="shared" ca="1" si="4"/>
        <v>46323.475415162036</v>
      </c>
    </row>
    <row r="147" spans="1:10" ht="20" customHeight="1" x14ac:dyDescent="0.45">
      <c r="A147" s="16" t="s">
        <v>78</v>
      </c>
      <c r="B147" s="17" t="s">
        <v>167</v>
      </c>
      <c r="C147" s="16" t="s">
        <v>72</v>
      </c>
      <c r="D147" s="17" t="s">
        <v>61</v>
      </c>
      <c r="E147" s="18">
        <v>336.66</v>
      </c>
      <c r="F147" s="19">
        <v>13</v>
      </c>
      <c r="G147" s="20">
        <v>0.2</v>
      </c>
      <c r="H147" s="16" t="s">
        <v>223</v>
      </c>
      <c r="I147" s="18">
        <v>134.66</v>
      </c>
      <c r="J147" s="21">
        <f t="shared" ca="1" si="4"/>
        <v>46323.475415162036</v>
      </c>
    </row>
    <row r="148" spans="1:10" ht="20" customHeight="1" x14ac:dyDescent="0.45">
      <c r="A148" s="10" t="s">
        <v>109</v>
      </c>
      <c r="B148" s="11" t="s">
        <v>71</v>
      </c>
      <c r="C148" s="10" t="s">
        <v>56</v>
      </c>
      <c r="D148" s="11" t="s">
        <v>57</v>
      </c>
      <c r="E148" s="12">
        <v>1353.79</v>
      </c>
      <c r="F148" s="13">
        <v>14</v>
      </c>
      <c r="G148" s="14">
        <v>0.1</v>
      </c>
      <c r="H148" s="10" t="s">
        <v>224</v>
      </c>
      <c r="I148" s="12">
        <v>487.36</v>
      </c>
      <c r="J148" s="15">
        <f t="shared" ca="1" si="4"/>
        <v>46323.475415162036</v>
      </c>
    </row>
    <row r="149" spans="1:10" ht="20" customHeight="1" x14ac:dyDescent="0.45">
      <c r="A149" s="16" t="s">
        <v>137</v>
      </c>
      <c r="B149" s="17" t="s">
        <v>163</v>
      </c>
      <c r="C149" s="16" t="s">
        <v>85</v>
      </c>
      <c r="D149" s="17" t="s">
        <v>61</v>
      </c>
      <c r="E149" s="18">
        <v>662.61</v>
      </c>
      <c r="F149" s="19">
        <v>11</v>
      </c>
      <c r="G149" s="20">
        <v>0.05</v>
      </c>
      <c r="H149" s="16" t="s">
        <v>225</v>
      </c>
      <c r="I149" s="18">
        <v>314.74</v>
      </c>
      <c r="J149" s="21">
        <f t="shared" ca="1" si="4"/>
        <v>46323.475415162036</v>
      </c>
    </row>
    <row r="150" spans="1:10" ht="20" customHeight="1" x14ac:dyDescent="0.45">
      <c r="A150" s="10" t="s">
        <v>116</v>
      </c>
      <c r="B150" s="11" t="s">
        <v>107</v>
      </c>
      <c r="C150" s="10" t="s">
        <v>72</v>
      </c>
      <c r="D150" s="11" t="s">
        <v>90</v>
      </c>
      <c r="E150" s="12">
        <v>309.42</v>
      </c>
      <c r="F150" s="13">
        <v>1</v>
      </c>
      <c r="G150" s="14">
        <v>0.2</v>
      </c>
      <c r="H150" s="10" t="s">
        <v>225</v>
      </c>
      <c r="I150" s="12">
        <v>111.39</v>
      </c>
      <c r="J150" s="15">
        <f t="shared" ca="1" si="4"/>
        <v>46323.475415162036</v>
      </c>
    </row>
    <row r="151" spans="1:10" ht="20" customHeight="1" x14ac:dyDescent="0.45">
      <c r="A151" s="16" t="s">
        <v>137</v>
      </c>
      <c r="B151" s="17" t="s">
        <v>79</v>
      </c>
      <c r="C151" s="16" t="s">
        <v>72</v>
      </c>
      <c r="D151" s="17" t="s">
        <v>57</v>
      </c>
      <c r="E151" s="18">
        <v>884.63</v>
      </c>
      <c r="F151" s="19">
        <v>18</v>
      </c>
      <c r="G151" s="20">
        <v>0.1</v>
      </c>
      <c r="H151" s="16" t="s">
        <v>226</v>
      </c>
      <c r="I151" s="18">
        <v>318.47000000000003</v>
      </c>
      <c r="J151" s="21">
        <f t="shared" ca="1" si="4"/>
        <v>46323.475415162036</v>
      </c>
    </row>
    <row r="152" spans="1:10" ht="20" customHeight="1" x14ac:dyDescent="0.45">
      <c r="A152" s="10" t="s">
        <v>116</v>
      </c>
      <c r="B152" s="11" t="s">
        <v>71</v>
      </c>
      <c r="C152" s="10" t="s">
        <v>85</v>
      </c>
      <c r="D152" s="11" t="s">
        <v>90</v>
      </c>
      <c r="E152" s="12">
        <v>745.05</v>
      </c>
      <c r="F152" s="13">
        <v>10</v>
      </c>
      <c r="G152" s="14">
        <v>0.1</v>
      </c>
      <c r="H152" s="10" t="s">
        <v>227</v>
      </c>
      <c r="I152" s="12">
        <v>301.75</v>
      </c>
      <c r="J152" s="15">
        <f t="shared" ca="1" si="4"/>
        <v>46323.475415162036</v>
      </c>
    </row>
    <row r="153" spans="1:10" ht="20" customHeight="1" x14ac:dyDescent="0.45">
      <c r="A153" s="16" t="s">
        <v>129</v>
      </c>
      <c r="B153" s="17" t="s">
        <v>64</v>
      </c>
      <c r="C153" s="16" t="s">
        <v>68</v>
      </c>
      <c r="D153" s="17" t="s">
        <v>61</v>
      </c>
      <c r="E153" s="18">
        <v>870.23</v>
      </c>
      <c r="F153" s="19">
        <v>5</v>
      </c>
      <c r="G153" s="20">
        <v>0.05</v>
      </c>
      <c r="H153" s="16" t="s">
        <v>227</v>
      </c>
      <c r="I153" s="18">
        <v>413.36</v>
      </c>
      <c r="J153" s="21">
        <f t="shared" ca="1" si="4"/>
        <v>46323.475415162036</v>
      </c>
    </row>
    <row r="154" spans="1:10" ht="20" customHeight="1" x14ac:dyDescent="0.45">
      <c r="A154" s="10" t="s">
        <v>86</v>
      </c>
      <c r="B154" s="11" t="s">
        <v>79</v>
      </c>
      <c r="C154" s="10" t="s">
        <v>56</v>
      </c>
      <c r="D154" s="11" t="s">
        <v>76</v>
      </c>
      <c r="E154" s="12">
        <v>862.19</v>
      </c>
      <c r="F154" s="13">
        <v>18</v>
      </c>
      <c r="G154" s="14">
        <v>0.05</v>
      </c>
      <c r="H154" s="10" t="s">
        <v>228</v>
      </c>
      <c r="I154" s="12">
        <v>286.68</v>
      </c>
      <c r="J154" s="15">
        <f t="shared" ca="1" si="4"/>
        <v>46323.475415162036</v>
      </c>
    </row>
    <row r="155" spans="1:10" ht="20" customHeight="1" x14ac:dyDescent="0.45">
      <c r="A155" s="16" t="s">
        <v>182</v>
      </c>
      <c r="B155" s="17" t="s">
        <v>128</v>
      </c>
      <c r="C155" s="16" t="s">
        <v>72</v>
      </c>
      <c r="D155" s="17" t="s">
        <v>61</v>
      </c>
      <c r="E155" s="18">
        <v>1171.18</v>
      </c>
      <c r="F155" s="19">
        <v>19</v>
      </c>
      <c r="G155" s="20">
        <v>0.05</v>
      </c>
      <c r="H155" s="16" t="s">
        <v>229</v>
      </c>
      <c r="I155" s="18">
        <v>556.30999999999995</v>
      </c>
      <c r="J155" s="21">
        <f t="shared" ca="1" si="4"/>
        <v>46323.475415162036</v>
      </c>
    </row>
    <row r="156" spans="1:10" ht="20" customHeight="1" x14ac:dyDescent="0.45">
      <c r="A156" s="10" t="s">
        <v>126</v>
      </c>
      <c r="B156" s="11" t="s">
        <v>60</v>
      </c>
      <c r="C156" s="10" t="s">
        <v>68</v>
      </c>
      <c r="D156" s="11" t="s">
        <v>76</v>
      </c>
      <c r="E156" s="12">
        <v>1054.56</v>
      </c>
      <c r="F156" s="13">
        <v>11</v>
      </c>
      <c r="G156" s="14">
        <v>0.1</v>
      </c>
      <c r="H156" s="10" t="s">
        <v>230</v>
      </c>
      <c r="I156" s="12">
        <v>332.19</v>
      </c>
      <c r="J156" s="15">
        <f t="shared" ca="1" si="4"/>
        <v>46323.475415162036</v>
      </c>
    </row>
    <row r="157" spans="1:10" ht="20" customHeight="1" x14ac:dyDescent="0.45">
      <c r="A157" s="16" t="s">
        <v>126</v>
      </c>
      <c r="B157" s="17" t="s">
        <v>71</v>
      </c>
      <c r="C157" s="16" t="s">
        <v>72</v>
      </c>
      <c r="D157" s="17" t="s">
        <v>69</v>
      </c>
      <c r="E157" s="18">
        <v>1681.21</v>
      </c>
      <c r="F157" s="19">
        <v>5</v>
      </c>
      <c r="G157" s="20">
        <v>0.2</v>
      </c>
      <c r="H157" s="16" t="s">
        <v>231</v>
      </c>
      <c r="I157" s="18">
        <v>336.24</v>
      </c>
      <c r="J157" s="21">
        <f t="shared" ca="1" si="4"/>
        <v>46323.475415162036</v>
      </c>
    </row>
    <row r="158" spans="1:10" ht="20" customHeight="1" x14ac:dyDescent="0.45">
      <c r="A158" s="10" t="s">
        <v>126</v>
      </c>
      <c r="B158" s="11" t="s">
        <v>87</v>
      </c>
      <c r="C158" s="10" t="s">
        <v>56</v>
      </c>
      <c r="D158" s="11" t="s">
        <v>61</v>
      </c>
      <c r="E158" s="12">
        <v>379.77</v>
      </c>
      <c r="F158" s="13">
        <v>9</v>
      </c>
      <c r="G158" s="14">
        <v>0.05</v>
      </c>
      <c r="H158" s="10" t="s">
        <v>232</v>
      </c>
      <c r="I158" s="12">
        <v>180.39</v>
      </c>
      <c r="J158" s="15">
        <f t="shared" ca="1" si="4"/>
        <v>46323.475415162036</v>
      </c>
    </row>
    <row r="159" spans="1:10" ht="20" customHeight="1" x14ac:dyDescent="0.45">
      <c r="A159" s="16" t="s">
        <v>100</v>
      </c>
      <c r="B159" s="17" t="s">
        <v>102</v>
      </c>
      <c r="C159" s="16" t="s">
        <v>85</v>
      </c>
      <c r="D159" s="17" t="s">
        <v>61</v>
      </c>
      <c r="E159" s="18">
        <v>1076.33</v>
      </c>
      <c r="F159" s="19">
        <v>2</v>
      </c>
      <c r="G159" s="20">
        <v>0.1</v>
      </c>
      <c r="H159" s="16" t="s">
        <v>233</v>
      </c>
      <c r="I159" s="18">
        <v>484.35</v>
      </c>
      <c r="J159" s="21">
        <f t="shared" ca="1" si="4"/>
        <v>46323.475415162036</v>
      </c>
    </row>
    <row r="160" spans="1:10" ht="20" customHeight="1" x14ac:dyDescent="0.45">
      <c r="A160" s="10" t="s">
        <v>100</v>
      </c>
      <c r="B160" s="11" t="s">
        <v>81</v>
      </c>
      <c r="C160" s="10" t="s">
        <v>85</v>
      </c>
      <c r="D160" s="11" t="s">
        <v>90</v>
      </c>
      <c r="E160" s="12">
        <v>1250.71</v>
      </c>
      <c r="F160" s="13">
        <v>7</v>
      </c>
      <c r="G160" s="14">
        <v>0</v>
      </c>
      <c r="H160" s="10" t="s">
        <v>233</v>
      </c>
      <c r="I160" s="12">
        <v>562.82000000000005</v>
      </c>
      <c r="J160" s="15">
        <f t="shared" ca="1" si="4"/>
        <v>46323.475415162036</v>
      </c>
    </row>
    <row r="161" spans="1:10" ht="20" customHeight="1" x14ac:dyDescent="0.45">
      <c r="A161" s="16" t="s">
        <v>94</v>
      </c>
      <c r="B161" s="17" t="s">
        <v>64</v>
      </c>
      <c r="C161" s="16" t="s">
        <v>68</v>
      </c>
      <c r="D161" s="17" t="s">
        <v>61</v>
      </c>
      <c r="E161" s="18">
        <v>1118.3399999999999</v>
      </c>
      <c r="F161" s="19">
        <v>6</v>
      </c>
      <c r="G161" s="20">
        <v>0.2</v>
      </c>
      <c r="H161" s="16" t="s">
        <v>233</v>
      </c>
      <c r="I161" s="18">
        <v>447.34</v>
      </c>
      <c r="J161" s="21">
        <f t="shared" ca="1" si="4"/>
        <v>46323.475415162036</v>
      </c>
    </row>
    <row r="162" spans="1:10" ht="20" customHeight="1" x14ac:dyDescent="0.45">
      <c r="A162" s="10" t="s">
        <v>165</v>
      </c>
      <c r="B162" s="11" t="s">
        <v>117</v>
      </c>
      <c r="C162" s="10" t="s">
        <v>72</v>
      </c>
      <c r="D162" s="11" t="s">
        <v>61</v>
      </c>
      <c r="E162" s="12">
        <v>1622.62</v>
      </c>
      <c r="F162" s="13">
        <v>12</v>
      </c>
      <c r="G162" s="14">
        <v>0.2</v>
      </c>
      <c r="H162" s="10" t="s">
        <v>234</v>
      </c>
      <c r="I162" s="12">
        <v>649.04999999999995</v>
      </c>
      <c r="J162" s="15">
        <f t="shared" ref="J162:J193" ca="1" si="5">NOW()</f>
        <v>46323.475415162036</v>
      </c>
    </row>
    <row r="163" spans="1:10" ht="20" customHeight="1" x14ac:dyDescent="0.45">
      <c r="A163" s="16" t="s">
        <v>186</v>
      </c>
      <c r="B163" s="17" t="s">
        <v>107</v>
      </c>
      <c r="C163" s="16" t="s">
        <v>72</v>
      </c>
      <c r="D163" s="17" t="s">
        <v>57</v>
      </c>
      <c r="E163" s="18">
        <v>640.64</v>
      </c>
      <c r="F163" s="19">
        <v>11</v>
      </c>
      <c r="G163" s="20">
        <v>0.2</v>
      </c>
      <c r="H163" s="16" t="s">
        <v>235</v>
      </c>
      <c r="I163" s="18">
        <v>205</v>
      </c>
      <c r="J163" s="21">
        <f t="shared" ca="1" si="5"/>
        <v>46323.475415162036</v>
      </c>
    </row>
    <row r="164" spans="1:10" ht="20" customHeight="1" x14ac:dyDescent="0.45">
      <c r="A164" s="10" t="s">
        <v>70</v>
      </c>
      <c r="B164" s="11" t="s">
        <v>98</v>
      </c>
      <c r="C164" s="10" t="s">
        <v>56</v>
      </c>
      <c r="D164" s="11" t="s">
        <v>61</v>
      </c>
      <c r="E164" s="12">
        <v>585.16</v>
      </c>
      <c r="F164" s="13">
        <v>17</v>
      </c>
      <c r="G164" s="14">
        <v>0.1</v>
      </c>
      <c r="H164" s="10" t="s">
        <v>236</v>
      </c>
      <c r="I164" s="12">
        <v>263.32</v>
      </c>
      <c r="J164" s="15">
        <f t="shared" ca="1" si="5"/>
        <v>46323.475415162036</v>
      </c>
    </row>
    <row r="165" spans="1:10" ht="20" customHeight="1" x14ac:dyDescent="0.45">
      <c r="A165" s="16" t="s">
        <v>70</v>
      </c>
      <c r="B165" s="17" t="s">
        <v>81</v>
      </c>
      <c r="C165" s="16" t="s">
        <v>65</v>
      </c>
      <c r="D165" s="17" t="s">
        <v>61</v>
      </c>
      <c r="E165" s="18">
        <v>1109.98</v>
      </c>
      <c r="F165" s="19">
        <v>5</v>
      </c>
      <c r="G165" s="20">
        <v>0.2</v>
      </c>
      <c r="H165" s="16" t="s">
        <v>237</v>
      </c>
      <c r="I165" s="18">
        <v>443.99</v>
      </c>
      <c r="J165" s="21">
        <f t="shared" ca="1" si="5"/>
        <v>46323.475415162036</v>
      </c>
    </row>
    <row r="166" spans="1:10" ht="20" customHeight="1" x14ac:dyDescent="0.45">
      <c r="A166" s="10" t="s">
        <v>126</v>
      </c>
      <c r="B166" s="11" t="s">
        <v>102</v>
      </c>
      <c r="C166" s="10" t="s">
        <v>65</v>
      </c>
      <c r="D166" s="11" t="s">
        <v>57</v>
      </c>
      <c r="E166" s="12">
        <v>1098.08</v>
      </c>
      <c r="F166" s="13">
        <v>9</v>
      </c>
      <c r="G166" s="14">
        <v>0.1</v>
      </c>
      <c r="H166" s="10" t="s">
        <v>238</v>
      </c>
      <c r="I166" s="12">
        <v>395.31</v>
      </c>
      <c r="J166" s="15">
        <f t="shared" ca="1" si="5"/>
        <v>46323.475415162036</v>
      </c>
    </row>
    <row r="167" spans="1:10" ht="20" customHeight="1" x14ac:dyDescent="0.45">
      <c r="A167" s="16" t="s">
        <v>145</v>
      </c>
      <c r="B167" s="17" t="s">
        <v>107</v>
      </c>
      <c r="C167" s="16" t="s">
        <v>56</v>
      </c>
      <c r="D167" s="17" t="s">
        <v>90</v>
      </c>
      <c r="E167" s="18">
        <v>827.25</v>
      </c>
      <c r="F167" s="19">
        <v>7</v>
      </c>
      <c r="G167" s="20">
        <v>0.1</v>
      </c>
      <c r="H167" s="16" t="s">
        <v>239</v>
      </c>
      <c r="I167" s="18">
        <v>335.04</v>
      </c>
      <c r="J167" s="21">
        <f t="shared" ca="1" si="5"/>
        <v>46323.475415162036</v>
      </c>
    </row>
    <row r="168" spans="1:10" ht="20" customHeight="1" x14ac:dyDescent="0.45">
      <c r="A168" s="10" t="s">
        <v>165</v>
      </c>
      <c r="B168" s="11" t="s">
        <v>79</v>
      </c>
      <c r="C168" s="10" t="s">
        <v>85</v>
      </c>
      <c r="D168" s="11" t="s">
        <v>61</v>
      </c>
      <c r="E168" s="12">
        <v>741.88</v>
      </c>
      <c r="F168" s="13">
        <v>16</v>
      </c>
      <c r="G168" s="14">
        <v>0.1</v>
      </c>
      <c r="H168" s="10" t="s">
        <v>240</v>
      </c>
      <c r="I168" s="12">
        <v>333.85</v>
      </c>
      <c r="J168" s="15">
        <f t="shared" ca="1" si="5"/>
        <v>46323.475415162036</v>
      </c>
    </row>
    <row r="169" spans="1:10" ht="20" customHeight="1" x14ac:dyDescent="0.45">
      <c r="A169" s="16" t="s">
        <v>171</v>
      </c>
      <c r="B169" s="17" t="s">
        <v>55</v>
      </c>
      <c r="C169" s="16" t="s">
        <v>65</v>
      </c>
      <c r="D169" s="17" t="s">
        <v>90</v>
      </c>
      <c r="E169" s="18">
        <v>1311.26</v>
      </c>
      <c r="F169" s="19">
        <v>6</v>
      </c>
      <c r="G169" s="20">
        <v>0.1</v>
      </c>
      <c r="H169" s="16" t="s">
        <v>241</v>
      </c>
      <c r="I169" s="18">
        <v>531.05999999999995</v>
      </c>
      <c r="J169" s="21">
        <f t="shared" ca="1" si="5"/>
        <v>46323.475415162036</v>
      </c>
    </row>
    <row r="170" spans="1:10" ht="20" customHeight="1" x14ac:dyDescent="0.45">
      <c r="A170" s="10" t="s">
        <v>171</v>
      </c>
      <c r="B170" s="11" t="s">
        <v>81</v>
      </c>
      <c r="C170" s="10" t="s">
        <v>68</v>
      </c>
      <c r="D170" s="11" t="s">
        <v>90</v>
      </c>
      <c r="E170" s="12">
        <v>573.32000000000005</v>
      </c>
      <c r="F170" s="13">
        <v>19</v>
      </c>
      <c r="G170" s="14">
        <v>0.1</v>
      </c>
      <c r="H170" s="10" t="s">
        <v>242</v>
      </c>
      <c r="I170" s="12">
        <v>232.19</v>
      </c>
      <c r="J170" s="15">
        <f t="shared" ca="1" si="5"/>
        <v>46323.475415162036</v>
      </c>
    </row>
    <row r="171" spans="1:10" ht="20" customHeight="1" x14ac:dyDescent="0.45">
      <c r="A171" s="16" t="s">
        <v>116</v>
      </c>
      <c r="B171" s="17" t="s">
        <v>71</v>
      </c>
      <c r="C171" s="16" t="s">
        <v>56</v>
      </c>
      <c r="D171" s="17" t="s">
        <v>69</v>
      </c>
      <c r="E171" s="18">
        <v>1115.22</v>
      </c>
      <c r="F171" s="19">
        <v>14</v>
      </c>
      <c r="G171" s="20">
        <v>0.2</v>
      </c>
      <c r="H171" s="16" t="s">
        <v>243</v>
      </c>
      <c r="I171" s="18">
        <v>223.04</v>
      </c>
      <c r="J171" s="21">
        <f t="shared" ca="1" si="5"/>
        <v>46323.475415162036</v>
      </c>
    </row>
    <row r="172" spans="1:10" ht="20" customHeight="1" x14ac:dyDescent="0.45">
      <c r="A172" s="10" t="s">
        <v>59</v>
      </c>
      <c r="B172" s="11" t="s">
        <v>102</v>
      </c>
      <c r="C172" s="10" t="s">
        <v>72</v>
      </c>
      <c r="D172" s="11" t="s">
        <v>61</v>
      </c>
      <c r="E172" s="12">
        <v>845.84</v>
      </c>
      <c r="F172" s="13">
        <v>4</v>
      </c>
      <c r="G172" s="14">
        <v>0</v>
      </c>
      <c r="H172" s="10" t="s">
        <v>244</v>
      </c>
      <c r="I172" s="12">
        <v>422.92</v>
      </c>
      <c r="J172" s="15">
        <f t="shared" ca="1" si="5"/>
        <v>46323.475415162036</v>
      </c>
    </row>
    <row r="173" spans="1:10" ht="20" customHeight="1" x14ac:dyDescent="0.45">
      <c r="A173" s="16" t="s">
        <v>80</v>
      </c>
      <c r="B173" s="17" t="s">
        <v>120</v>
      </c>
      <c r="C173" s="16" t="s">
        <v>56</v>
      </c>
      <c r="D173" s="17" t="s">
        <v>69</v>
      </c>
      <c r="E173" s="18">
        <v>1029.8</v>
      </c>
      <c r="F173" s="19">
        <v>3</v>
      </c>
      <c r="G173" s="20">
        <v>0</v>
      </c>
      <c r="H173" s="16" t="s">
        <v>245</v>
      </c>
      <c r="I173" s="18">
        <v>257.45</v>
      </c>
      <c r="J173" s="21">
        <f t="shared" ca="1" si="5"/>
        <v>46323.475415162036</v>
      </c>
    </row>
    <row r="174" spans="1:10" ht="20" customHeight="1" x14ac:dyDescent="0.45">
      <c r="A174" s="10" t="s">
        <v>83</v>
      </c>
      <c r="B174" s="11" t="s">
        <v>81</v>
      </c>
      <c r="C174" s="10" t="s">
        <v>72</v>
      </c>
      <c r="D174" s="11" t="s">
        <v>57</v>
      </c>
      <c r="E174" s="12">
        <v>1189.83</v>
      </c>
      <c r="F174" s="13">
        <v>2</v>
      </c>
      <c r="G174" s="14">
        <v>0.2</v>
      </c>
      <c r="H174" s="10" t="s">
        <v>246</v>
      </c>
      <c r="I174" s="12">
        <v>380.75</v>
      </c>
      <c r="J174" s="15">
        <f t="shared" ca="1" si="5"/>
        <v>46323.475415162036</v>
      </c>
    </row>
    <row r="175" spans="1:10" ht="20" customHeight="1" x14ac:dyDescent="0.45">
      <c r="A175" s="16" t="s">
        <v>151</v>
      </c>
      <c r="B175" s="17" t="s">
        <v>98</v>
      </c>
      <c r="C175" s="16" t="s">
        <v>68</v>
      </c>
      <c r="D175" s="17" t="s">
        <v>57</v>
      </c>
      <c r="E175" s="18">
        <v>704.28</v>
      </c>
      <c r="F175" s="19">
        <v>15</v>
      </c>
      <c r="G175" s="20">
        <v>0.2</v>
      </c>
      <c r="H175" s="16" t="s">
        <v>247</v>
      </c>
      <c r="I175" s="18">
        <v>225.37</v>
      </c>
      <c r="J175" s="21">
        <f t="shared" ca="1" si="5"/>
        <v>46323.475415162036</v>
      </c>
    </row>
    <row r="176" spans="1:10" ht="20" customHeight="1" x14ac:dyDescent="0.45">
      <c r="A176" s="10" t="s">
        <v>145</v>
      </c>
      <c r="B176" s="11" t="s">
        <v>104</v>
      </c>
      <c r="C176" s="10" t="s">
        <v>85</v>
      </c>
      <c r="D176" s="11" t="s">
        <v>90</v>
      </c>
      <c r="E176" s="12">
        <v>1618.22</v>
      </c>
      <c r="F176" s="13">
        <v>12</v>
      </c>
      <c r="G176" s="14">
        <v>0.2</v>
      </c>
      <c r="H176" s="10" t="s">
        <v>247</v>
      </c>
      <c r="I176" s="12">
        <v>582.55999999999995</v>
      </c>
      <c r="J176" s="15">
        <f t="shared" ca="1" si="5"/>
        <v>46323.475415162036</v>
      </c>
    </row>
    <row r="177" spans="1:10" ht="20" customHeight="1" x14ac:dyDescent="0.45">
      <c r="A177" s="16" t="s">
        <v>182</v>
      </c>
      <c r="B177" s="17" t="s">
        <v>117</v>
      </c>
      <c r="C177" s="16" t="s">
        <v>85</v>
      </c>
      <c r="D177" s="17" t="s">
        <v>57</v>
      </c>
      <c r="E177" s="18">
        <v>1014.43</v>
      </c>
      <c r="F177" s="19">
        <v>2</v>
      </c>
      <c r="G177" s="20">
        <v>0.15</v>
      </c>
      <c r="H177" s="16" t="s">
        <v>248</v>
      </c>
      <c r="I177" s="18">
        <v>344.91</v>
      </c>
      <c r="J177" s="21">
        <f t="shared" ca="1" si="5"/>
        <v>46323.475415162036</v>
      </c>
    </row>
    <row r="178" spans="1:10" ht="20" customHeight="1" x14ac:dyDescent="0.45">
      <c r="A178" s="10" t="s">
        <v>186</v>
      </c>
      <c r="B178" s="11" t="s">
        <v>81</v>
      </c>
      <c r="C178" s="10" t="s">
        <v>85</v>
      </c>
      <c r="D178" s="11" t="s">
        <v>61</v>
      </c>
      <c r="E178" s="12">
        <v>826.97</v>
      </c>
      <c r="F178" s="13">
        <v>18</v>
      </c>
      <c r="G178" s="14">
        <v>0.2</v>
      </c>
      <c r="H178" s="10" t="s">
        <v>249</v>
      </c>
      <c r="I178" s="12">
        <v>330.79</v>
      </c>
      <c r="J178" s="15">
        <f t="shared" ca="1" si="5"/>
        <v>46323.475415162036</v>
      </c>
    </row>
    <row r="179" spans="1:10" ht="20" customHeight="1" x14ac:dyDescent="0.45">
      <c r="A179" s="16" t="s">
        <v>63</v>
      </c>
      <c r="B179" s="17" t="s">
        <v>81</v>
      </c>
      <c r="C179" s="16" t="s">
        <v>85</v>
      </c>
      <c r="D179" s="17" t="s">
        <v>61</v>
      </c>
      <c r="E179" s="18">
        <v>1022.23</v>
      </c>
      <c r="F179" s="19">
        <v>8</v>
      </c>
      <c r="G179" s="20">
        <v>0.1</v>
      </c>
      <c r="H179" s="16" t="s">
        <v>250</v>
      </c>
      <c r="I179" s="18">
        <v>460</v>
      </c>
      <c r="J179" s="21">
        <f t="shared" ca="1" si="5"/>
        <v>46323.475415162036</v>
      </c>
    </row>
    <row r="180" spans="1:10" ht="20" customHeight="1" x14ac:dyDescent="0.45">
      <c r="A180" s="10" t="s">
        <v>171</v>
      </c>
      <c r="B180" s="11" t="s">
        <v>79</v>
      </c>
      <c r="C180" s="10" t="s">
        <v>65</v>
      </c>
      <c r="D180" s="11" t="s">
        <v>57</v>
      </c>
      <c r="E180" s="12">
        <v>1099.69</v>
      </c>
      <c r="F180" s="13">
        <v>6</v>
      </c>
      <c r="G180" s="14">
        <v>0</v>
      </c>
      <c r="H180" s="10" t="s">
        <v>251</v>
      </c>
      <c r="I180" s="12">
        <v>439.88</v>
      </c>
      <c r="J180" s="15">
        <f t="shared" ca="1" si="5"/>
        <v>46323.475415162036</v>
      </c>
    </row>
    <row r="181" spans="1:10" ht="20" customHeight="1" x14ac:dyDescent="0.45">
      <c r="A181" s="16" t="s">
        <v>116</v>
      </c>
      <c r="B181" s="17" t="s">
        <v>143</v>
      </c>
      <c r="C181" s="16" t="s">
        <v>72</v>
      </c>
      <c r="D181" s="17" t="s">
        <v>57</v>
      </c>
      <c r="E181" s="18">
        <v>710.52</v>
      </c>
      <c r="F181" s="19">
        <v>8</v>
      </c>
      <c r="G181" s="20">
        <v>0.1</v>
      </c>
      <c r="H181" s="16" t="s">
        <v>252</v>
      </c>
      <c r="I181" s="18">
        <v>255.79</v>
      </c>
      <c r="J181" s="21">
        <f t="shared" ca="1" si="5"/>
        <v>46323.475415162036</v>
      </c>
    </row>
    <row r="182" spans="1:10" ht="20" customHeight="1" x14ac:dyDescent="0.45">
      <c r="A182" s="10" t="s">
        <v>116</v>
      </c>
      <c r="B182" s="11" t="s">
        <v>128</v>
      </c>
      <c r="C182" s="10" t="s">
        <v>72</v>
      </c>
      <c r="D182" s="11" t="s">
        <v>57</v>
      </c>
      <c r="E182" s="12">
        <v>499.18</v>
      </c>
      <c r="F182" s="13">
        <v>15</v>
      </c>
      <c r="G182" s="14">
        <v>0.2</v>
      </c>
      <c r="H182" s="10" t="s">
        <v>253</v>
      </c>
      <c r="I182" s="12">
        <v>159.74</v>
      </c>
      <c r="J182" s="15">
        <f t="shared" ca="1" si="5"/>
        <v>46323.475415162036</v>
      </c>
    </row>
    <row r="183" spans="1:10" ht="20" customHeight="1" x14ac:dyDescent="0.45">
      <c r="A183" s="16" t="s">
        <v>88</v>
      </c>
      <c r="B183" s="17" t="s">
        <v>89</v>
      </c>
      <c r="C183" s="16" t="s">
        <v>68</v>
      </c>
      <c r="D183" s="17" t="s">
        <v>57</v>
      </c>
      <c r="E183" s="18">
        <v>1064.19</v>
      </c>
      <c r="F183" s="19">
        <v>18</v>
      </c>
      <c r="G183" s="20">
        <v>0.05</v>
      </c>
      <c r="H183" s="16" t="s">
        <v>254</v>
      </c>
      <c r="I183" s="18">
        <v>404.39</v>
      </c>
      <c r="J183" s="21">
        <f t="shared" ca="1" si="5"/>
        <v>46323.475415162036</v>
      </c>
    </row>
    <row r="184" spans="1:10" ht="20" customHeight="1" x14ac:dyDescent="0.45">
      <c r="A184" s="10" t="s">
        <v>151</v>
      </c>
      <c r="B184" s="11" t="s">
        <v>89</v>
      </c>
      <c r="C184" s="10" t="s">
        <v>65</v>
      </c>
      <c r="D184" s="11" t="s">
        <v>90</v>
      </c>
      <c r="E184" s="12">
        <v>438.76</v>
      </c>
      <c r="F184" s="13">
        <v>18</v>
      </c>
      <c r="G184" s="14">
        <v>0.05</v>
      </c>
      <c r="H184" s="10" t="s">
        <v>255</v>
      </c>
      <c r="I184" s="12">
        <v>187.57</v>
      </c>
      <c r="J184" s="15">
        <f t="shared" ca="1" si="5"/>
        <v>46323.475415162036</v>
      </c>
    </row>
    <row r="185" spans="1:10" ht="20" customHeight="1" x14ac:dyDescent="0.45">
      <c r="A185" s="16" t="s">
        <v>95</v>
      </c>
      <c r="B185" s="17" t="s">
        <v>120</v>
      </c>
      <c r="C185" s="16" t="s">
        <v>56</v>
      </c>
      <c r="D185" s="17" t="s">
        <v>61</v>
      </c>
      <c r="E185" s="18">
        <v>864.98</v>
      </c>
      <c r="F185" s="19">
        <v>2</v>
      </c>
      <c r="G185" s="20">
        <v>0.05</v>
      </c>
      <c r="H185" s="16" t="s">
        <v>256</v>
      </c>
      <c r="I185" s="18">
        <v>410.87</v>
      </c>
      <c r="J185" s="21">
        <f t="shared" ca="1" si="5"/>
        <v>46323.475415162036</v>
      </c>
    </row>
    <row r="186" spans="1:10" ht="20" customHeight="1" x14ac:dyDescent="0.45">
      <c r="A186" s="10" t="s">
        <v>124</v>
      </c>
      <c r="B186" s="11" t="s">
        <v>120</v>
      </c>
      <c r="C186" s="10" t="s">
        <v>56</v>
      </c>
      <c r="D186" s="11" t="s">
        <v>76</v>
      </c>
      <c r="E186" s="12">
        <v>984.93</v>
      </c>
      <c r="F186" s="13">
        <v>14</v>
      </c>
      <c r="G186" s="14">
        <v>0.2</v>
      </c>
      <c r="H186" s="10" t="s">
        <v>257</v>
      </c>
      <c r="I186" s="12">
        <v>275.77999999999997</v>
      </c>
      <c r="J186" s="15">
        <f t="shared" ca="1" si="5"/>
        <v>46323.475415162036</v>
      </c>
    </row>
    <row r="187" spans="1:10" ht="20" customHeight="1" x14ac:dyDescent="0.45">
      <c r="A187" s="16" t="s">
        <v>74</v>
      </c>
      <c r="B187" s="17" t="s">
        <v>120</v>
      </c>
      <c r="C187" s="16" t="s">
        <v>56</v>
      </c>
      <c r="D187" s="17" t="s">
        <v>61</v>
      </c>
      <c r="E187" s="18">
        <v>1493.49</v>
      </c>
      <c r="F187" s="19">
        <v>18</v>
      </c>
      <c r="G187" s="20">
        <v>0</v>
      </c>
      <c r="H187" s="16" t="s">
        <v>258</v>
      </c>
      <c r="I187" s="18">
        <v>746.74</v>
      </c>
      <c r="J187" s="21">
        <f t="shared" ca="1" si="5"/>
        <v>46323.475415162036</v>
      </c>
    </row>
    <row r="188" spans="1:10" ht="20" customHeight="1" x14ac:dyDescent="0.45">
      <c r="A188" s="10" t="s">
        <v>83</v>
      </c>
      <c r="B188" s="11" t="s">
        <v>117</v>
      </c>
      <c r="C188" s="10" t="s">
        <v>68</v>
      </c>
      <c r="D188" s="11" t="s">
        <v>61</v>
      </c>
      <c r="E188" s="12">
        <v>689.43</v>
      </c>
      <c r="F188" s="13">
        <v>9</v>
      </c>
      <c r="G188" s="14">
        <v>0.1</v>
      </c>
      <c r="H188" s="10" t="s">
        <v>259</v>
      </c>
      <c r="I188" s="12">
        <v>310.24</v>
      </c>
      <c r="J188" s="15">
        <f t="shared" ca="1" si="5"/>
        <v>46323.475415162036</v>
      </c>
    </row>
    <row r="189" spans="1:10" ht="20" customHeight="1" x14ac:dyDescent="0.45">
      <c r="A189" s="16" t="s">
        <v>94</v>
      </c>
      <c r="B189" s="17" t="s">
        <v>128</v>
      </c>
      <c r="C189" s="16" t="s">
        <v>68</v>
      </c>
      <c r="D189" s="17" t="s">
        <v>61</v>
      </c>
      <c r="E189" s="18">
        <v>682.24</v>
      </c>
      <c r="F189" s="19">
        <v>1</v>
      </c>
      <c r="G189" s="20">
        <v>0</v>
      </c>
      <c r="H189" s="16" t="s">
        <v>260</v>
      </c>
      <c r="I189" s="18">
        <v>341.12</v>
      </c>
      <c r="J189" s="21">
        <f t="shared" ca="1" si="5"/>
        <v>46323.475415162036</v>
      </c>
    </row>
    <row r="190" spans="1:10" ht="20" customHeight="1" x14ac:dyDescent="0.45">
      <c r="A190" s="10" t="s">
        <v>95</v>
      </c>
      <c r="B190" s="11" t="s">
        <v>75</v>
      </c>
      <c r="C190" s="10" t="s">
        <v>72</v>
      </c>
      <c r="D190" s="11" t="s">
        <v>69</v>
      </c>
      <c r="E190" s="12">
        <v>458.54</v>
      </c>
      <c r="F190" s="13">
        <v>15</v>
      </c>
      <c r="G190" s="14">
        <v>0.2</v>
      </c>
      <c r="H190" s="10" t="s">
        <v>261</v>
      </c>
      <c r="I190" s="12">
        <v>91.71</v>
      </c>
      <c r="J190" s="15">
        <f t="shared" ca="1" si="5"/>
        <v>46323.475415162036</v>
      </c>
    </row>
    <row r="191" spans="1:10" ht="20" customHeight="1" x14ac:dyDescent="0.45">
      <c r="A191" s="16" t="s">
        <v>83</v>
      </c>
      <c r="B191" s="17" t="s">
        <v>75</v>
      </c>
      <c r="C191" s="16" t="s">
        <v>68</v>
      </c>
      <c r="D191" s="17" t="s">
        <v>76</v>
      </c>
      <c r="E191" s="18">
        <v>1184.25</v>
      </c>
      <c r="F191" s="19">
        <v>11</v>
      </c>
      <c r="G191" s="20">
        <v>0.2</v>
      </c>
      <c r="H191" s="16" t="s">
        <v>262</v>
      </c>
      <c r="I191" s="18">
        <v>331.59</v>
      </c>
      <c r="J191" s="21">
        <f t="shared" ca="1" si="5"/>
        <v>46323.475415162036</v>
      </c>
    </row>
    <row r="192" spans="1:10" ht="20" customHeight="1" x14ac:dyDescent="0.45">
      <c r="A192" s="10" t="s">
        <v>74</v>
      </c>
      <c r="B192" s="11" t="s">
        <v>55</v>
      </c>
      <c r="C192" s="10" t="s">
        <v>68</v>
      </c>
      <c r="D192" s="11" t="s">
        <v>61</v>
      </c>
      <c r="E192" s="12">
        <v>762.14</v>
      </c>
      <c r="F192" s="13">
        <v>9</v>
      </c>
      <c r="G192" s="14">
        <v>0</v>
      </c>
      <c r="H192" s="10" t="s">
        <v>263</v>
      </c>
      <c r="I192" s="12">
        <v>381.07</v>
      </c>
      <c r="J192" s="15">
        <f t="shared" ca="1" si="5"/>
        <v>46323.475415162036</v>
      </c>
    </row>
    <row r="193" spans="1:10" ht="20" customHeight="1" x14ac:dyDescent="0.45">
      <c r="A193" s="16" t="s">
        <v>70</v>
      </c>
      <c r="B193" s="17" t="s">
        <v>117</v>
      </c>
      <c r="C193" s="16" t="s">
        <v>72</v>
      </c>
      <c r="D193" s="17" t="s">
        <v>57</v>
      </c>
      <c r="E193" s="18">
        <v>750.71</v>
      </c>
      <c r="F193" s="19">
        <v>10</v>
      </c>
      <c r="G193" s="20">
        <v>0.15</v>
      </c>
      <c r="H193" s="16" t="s">
        <v>263</v>
      </c>
      <c r="I193" s="18">
        <v>255.24</v>
      </c>
      <c r="J193" s="21">
        <f t="shared" ca="1" si="5"/>
        <v>46323.475415162036</v>
      </c>
    </row>
    <row r="194" spans="1:10" ht="20" customHeight="1" x14ac:dyDescent="0.45">
      <c r="A194" s="10" t="s">
        <v>186</v>
      </c>
      <c r="B194" s="11" t="s">
        <v>167</v>
      </c>
      <c r="C194" s="10" t="s">
        <v>85</v>
      </c>
      <c r="D194" s="11" t="s">
        <v>61</v>
      </c>
      <c r="E194" s="12">
        <v>1456.94</v>
      </c>
      <c r="F194" s="13">
        <v>14</v>
      </c>
      <c r="G194" s="14">
        <v>0.05</v>
      </c>
      <c r="H194" s="10" t="s">
        <v>264</v>
      </c>
      <c r="I194" s="12">
        <v>692.05</v>
      </c>
      <c r="J194" s="15">
        <f t="shared" ref="J194:J201" ca="1" si="6">NOW()</f>
        <v>46323.475415162036</v>
      </c>
    </row>
    <row r="195" spans="1:10" ht="20" customHeight="1" x14ac:dyDescent="0.45">
      <c r="A195" s="16" t="s">
        <v>100</v>
      </c>
      <c r="B195" s="17" t="s">
        <v>130</v>
      </c>
      <c r="C195" s="16" t="s">
        <v>65</v>
      </c>
      <c r="D195" s="17" t="s">
        <v>76</v>
      </c>
      <c r="E195" s="18">
        <v>1093.3800000000001</v>
      </c>
      <c r="F195" s="19">
        <v>17</v>
      </c>
      <c r="G195" s="20">
        <v>0.1</v>
      </c>
      <c r="H195" s="16" t="s">
        <v>264</v>
      </c>
      <c r="I195" s="18">
        <v>344.41</v>
      </c>
      <c r="J195" s="21">
        <f t="shared" ca="1" si="6"/>
        <v>46323.475415162036</v>
      </c>
    </row>
    <row r="196" spans="1:10" ht="20" customHeight="1" x14ac:dyDescent="0.45">
      <c r="A196" s="10" t="s">
        <v>88</v>
      </c>
      <c r="B196" s="11" t="s">
        <v>98</v>
      </c>
      <c r="C196" s="10" t="s">
        <v>56</v>
      </c>
      <c r="D196" s="11" t="s">
        <v>61</v>
      </c>
      <c r="E196" s="12">
        <v>934.27</v>
      </c>
      <c r="F196" s="13">
        <v>8</v>
      </c>
      <c r="G196" s="14">
        <v>0.15</v>
      </c>
      <c r="H196" s="10" t="s">
        <v>265</v>
      </c>
      <c r="I196" s="12">
        <v>397.06</v>
      </c>
      <c r="J196" s="15">
        <f t="shared" ca="1" si="6"/>
        <v>46323.475415162036</v>
      </c>
    </row>
    <row r="197" spans="1:10" ht="20" customHeight="1" x14ac:dyDescent="0.45">
      <c r="A197" s="16" t="s">
        <v>165</v>
      </c>
      <c r="B197" s="17" t="s">
        <v>87</v>
      </c>
      <c r="C197" s="16" t="s">
        <v>85</v>
      </c>
      <c r="D197" s="17" t="s">
        <v>61</v>
      </c>
      <c r="E197" s="18">
        <v>1465.35</v>
      </c>
      <c r="F197" s="19">
        <v>8</v>
      </c>
      <c r="G197" s="20">
        <v>0.2</v>
      </c>
      <c r="H197" s="16" t="s">
        <v>265</v>
      </c>
      <c r="I197" s="18">
        <v>586.14</v>
      </c>
      <c r="J197" s="21">
        <f t="shared" ca="1" si="6"/>
        <v>46323.475415162036</v>
      </c>
    </row>
    <row r="198" spans="1:10" ht="20" customHeight="1" x14ac:dyDescent="0.45">
      <c r="A198" s="10" t="s">
        <v>116</v>
      </c>
      <c r="B198" s="11" t="s">
        <v>60</v>
      </c>
      <c r="C198" s="10" t="s">
        <v>68</v>
      </c>
      <c r="D198" s="11" t="s">
        <v>90</v>
      </c>
      <c r="E198" s="12">
        <v>740.8</v>
      </c>
      <c r="F198" s="13">
        <v>3</v>
      </c>
      <c r="G198" s="14">
        <v>0</v>
      </c>
      <c r="H198" s="10" t="s">
        <v>266</v>
      </c>
      <c r="I198" s="12">
        <v>333.36</v>
      </c>
      <c r="J198" s="15">
        <f t="shared" ca="1" si="6"/>
        <v>46323.475415162036</v>
      </c>
    </row>
    <row r="199" spans="1:10" ht="20" customHeight="1" x14ac:dyDescent="0.45">
      <c r="A199" s="16" t="s">
        <v>126</v>
      </c>
      <c r="B199" s="17" t="s">
        <v>98</v>
      </c>
      <c r="C199" s="16" t="s">
        <v>56</v>
      </c>
      <c r="D199" s="17" t="s">
        <v>90</v>
      </c>
      <c r="E199" s="18">
        <v>545.44000000000005</v>
      </c>
      <c r="F199" s="19">
        <v>17</v>
      </c>
      <c r="G199" s="20">
        <v>0</v>
      </c>
      <c r="H199" s="16" t="s">
        <v>267</v>
      </c>
      <c r="I199" s="18">
        <v>245.45</v>
      </c>
      <c r="J199" s="21">
        <f t="shared" ca="1" si="6"/>
        <v>46323.475415162036</v>
      </c>
    </row>
    <row r="200" spans="1:10" ht="20" customHeight="1" x14ac:dyDescent="0.45">
      <c r="A200" s="10" t="s">
        <v>86</v>
      </c>
      <c r="B200" s="11" t="s">
        <v>87</v>
      </c>
      <c r="C200" s="10" t="s">
        <v>65</v>
      </c>
      <c r="D200" s="11" t="s">
        <v>57</v>
      </c>
      <c r="E200" s="12">
        <v>997.61</v>
      </c>
      <c r="F200" s="13">
        <v>8</v>
      </c>
      <c r="G200" s="14">
        <v>0.05</v>
      </c>
      <c r="H200" s="10" t="s">
        <v>267</v>
      </c>
      <c r="I200" s="12">
        <v>379.09</v>
      </c>
      <c r="J200" s="15">
        <f t="shared" ca="1" si="6"/>
        <v>46323.475415162036</v>
      </c>
    </row>
    <row r="201" spans="1:10" ht="20" customHeight="1" x14ac:dyDescent="0.45">
      <c r="A201" s="16" t="s">
        <v>129</v>
      </c>
      <c r="B201" s="17" t="s">
        <v>87</v>
      </c>
      <c r="C201" s="16" t="s">
        <v>68</v>
      </c>
      <c r="D201" s="17" t="s">
        <v>61</v>
      </c>
      <c r="E201" s="18">
        <v>928.32</v>
      </c>
      <c r="F201" s="19">
        <v>2</v>
      </c>
      <c r="G201" s="20">
        <v>0.05</v>
      </c>
      <c r="H201" s="16" t="s">
        <v>268</v>
      </c>
      <c r="I201" s="18">
        <v>440.95</v>
      </c>
      <c r="J201" s="21">
        <f t="shared" ca="1" si="6"/>
        <v>46323.475415162036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77"/>
  <sheetViews>
    <sheetView topLeftCell="E2" zoomScaleNormal="100" workbookViewId="0">
      <selection activeCell="A7" sqref="A7"/>
    </sheetView>
  </sheetViews>
  <sheetFormatPr defaultRowHeight="14.5" x14ac:dyDescent="0.35"/>
  <cols>
    <col min="1" max="1" width="3" customWidth="1"/>
    <col min="2" max="2" width="8" customWidth="1"/>
    <col min="3" max="3" width="16" customWidth="1"/>
    <col min="4" max="4" width="22" customWidth="1"/>
    <col min="5" max="5" width="24" customWidth="1"/>
    <col min="6" max="6" width="18" customWidth="1"/>
    <col min="7" max="7" width="12" customWidth="1"/>
    <col min="8" max="8" width="20" customWidth="1"/>
    <col min="9" max="9" width="4" customWidth="1"/>
    <col min="10" max="10" width="16" customWidth="1"/>
    <col min="11" max="11" width="20" customWidth="1"/>
    <col min="12" max="13" width="16" customWidth="1"/>
    <col min="14" max="14" width="12" customWidth="1"/>
    <col min="15" max="15" width="10" customWidth="1"/>
  </cols>
  <sheetData>
    <row r="2" spans="2:15" ht="22.5" x14ac:dyDescent="0.6">
      <c r="B2" s="1" t="s">
        <v>269</v>
      </c>
    </row>
    <row r="3" spans="2:15" ht="16" x14ac:dyDescent="0.45">
      <c r="B3" s="22" t="s">
        <v>270</v>
      </c>
    </row>
    <row r="5" spans="2:15" ht="16.5" x14ac:dyDescent="0.45">
      <c r="B5" s="23" t="s">
        <v>271</v>
      </c>
      <c r="J5" s="23" t="s">
        <v>272</v>
      </c>
    </row>
    <row r="6" spans="2:15" ht="24" customHeight="1" x14ac:dyDescent="0.35">
      <c r="B6" s="3" t="s">
        <v>273</v>
      </c>
      <c r="C6" s="3" t="s">
        <v>274</v>
      </c>
      <c r="D6" s="3" t="s">
        <v>275</v>
      </c>
      <c r="E6" s="3" t="s">
        <v>276</v>
      </c>
      <c r="F6" s="3" t="s">
        <v>277</v>
      </c>
      <c r="G6" s="3" t="s">
        <v>278</v>
      </c>
      <c r="H6" s="3" t="s">
        <v>279</v>
      </c>
      <c r="J6" s="24" t="s">
        <v>44</v>
      </c>
      <c r="K6" s="24" t="s">
        <v>45</v>
      </c>
      <c r="L6" s="24" t="s">
        <v>280</v>
      </c>
      <c r="M6" s="24" t="s">
        <v>281</v>
      </c>
      <c r="N6" s="24" t="s">
        <v>278</v>
      </c>
      <c r="O6" s="24" t="s">
        <v>273</v>
      </c>
    </row>
    <row r="7" spans="2:15" ht="22" customHeight="1" x14ac:dyDescent="0.45">
      <c r="B7" s="25">
        <v>1</v>
      </c>
      <c r="C7" s="25" t="str">
        <f>INDEX($J$7:$J$177,MATCH(E7,$L$7:$L$177,0))</f>
        <v>CUST015</v>
      </c>
      <c r="D7" s="26" t="str">
        <f t="shared" ref="D7:D16" si="0">INDEX($K$7:$K$177, MATCH(E7, $L$7:$L$177, 0))</f>
        <v>James Wilson</v>
      </c>
      <c r="E7" s="27">
        <f t="shared" ref="E7:E16" si="1">LARGE($L$7:$L$177, B7)</f>
        <v>4831.49</v>
      </c>
      <c r="F7" s="27">
        <f t="shared" ref="F7:F16" si="2">INDEX($M$7:$M$177, MATCH(E7, $L$7:$L$177, 0))</f>
        <v>1657.68</v>
      </c>
      <c r="G7" s="28">
        <f t="shared" ref="G7:G16" si="3">INDEX($N$7:$N$177, MATCH(E7, $L$7:$L$177, 0))</f>
        <v>3</v>
      </c>
      <c r="H7" s="25" t="s">
        <v>282</v>
      </c>
      <c r="J7" s="16" t="s">
        <v>126</v>
      </c>
      <c r="K7" s="17" t="s">
        <v>71</v>
      </c>
      <c r="L7" s="18">
        <v>4831.49</v>
      </c>
      <c r="M7" s="18">
        <v>1657.68</v>
      </c>
      <c r="N7" s="29">
        <v>3</v>
      </c>
      <c r="O7" s="16">
        <v>1</v>
      </c>
    </row>
    <row r="8" spans="2:15" ht="22" customHeight="1" x14ac:dyDescent="0.45">
      <c r="B8" s="25">
        <v>2</v>
      </c>
      <c r="C8" s="25" t="str">
        <f t="shared" ref="C8:C16" si="4">INDEX($J$7:$J$177,MATCH(E8,$L$7:$L$177,0))</f>
        <v>CUST028</v>
      </c>
      <c r="D8" s="26" t="str">
        <f t="shared" si="0"/>
        <v>James Wilson</v>
      </c>
      <c r="E8" s="27">
        <f t="shared" si="1"/>
        <v>3687.46</v>
      </c>
      <c r="F8" s="27">
        <f t="shared" si="2"/>
        <v>1054.3800000000001</v>
      </c>
      <c r="G8" s="28">
        <f t="shared" si="3"/>
        <v>4</v>
      </c>
      <c r="H8" s="25" t="s">
        <v>282</v>
      </c>
      <c r="J8" s="10" t="s">
        <v>116</v>
      </c>
      <c r="K8" s="11" t="s">
        <v>71</v>
      </c>
      <c r="L8" s="12">
        <v>3687.46</v>
      </c>
      <c r="M8" s="12">
        <v>1054.3800000000001</v>
      </c>
      <c r="N8" s="30">
        <v>4</v>
      </c>
      <c r="O8" s="10">
        <v>2</v>
      </c>
    </row>
    <row r="9" spans="2:15" ht="22" customHeight="1" x14ac:dyDescent="0.45">
      <c r="B9" s="25">
        <v>3</v>
      </c>
      <c r="C9" s="25" t="str">
        <f t="shared" si="4"/>
        <v>CUST003</v>
      </c>
      <c r="D9" s="26" t="str">
        <f t="shared" si="0"/>
        <v>James Wilson</v>
      </c>
      <c r="E9" s="27">
        <f t="shared" si="1"/>
        <v>3095.83</v>
      </c>
      <c r="F9" s="27">
        <f t="shared" si="2"/>
        <v>990.71</v>
      </c>
      <c r="G9" s="28">
        <f t="shared" si="3"/>
        <v>3</v>
      </c>
      <c r="H9" s="25" t="s">
        <v>282</v>
      </c>
      <c r="J9" s="16" t="s">
        <v>151</v>
      </c>
      <c r="K9" s="17" t="s">
        <v>71</v>
      </c>
      <c r="L9" s="18">
        <v>3095.83</v>
      </c>
      <c r="M9" s="18">
        <v>990.71</v>
      </c>
      <c r="N9" s="29">
        <v>3</v>
      </c>
      <c r="O9" s="16">
        <v>3</v>
      </c>
    </row>
    <row r="10" spans="2:15" ht="22" customHeight="1" x14ac:dyDescent="0.45">
      <c r="B10" s="25">
        <v>4</v>
      </c>
      <c r="C10" s="25" t="str">
        <f t="shared" si="4"/>
        <v>CUST026</v>
      </c>
      <c r="D10" s="26" t="str">
        <f t="shared" si="0"/>
        <v>Mary Davis</v>
      </c>
      <c r="E10" s="27">
        <f t="shared" si="1"/>
        <v>2653.2</v>
      </c>
      <c r="F10" s="27">
        <f t="shared" si="2"/>
        <v>756.23</v>
      </c>
      <c r="G10" s="28">
        <f t="shared" si="3"/>
        <v>3</v>
      </c>
      <c r="H10" s="25" t="s">
        <v>283</v>
      </c>
      <c r="J10" s="10" t="s">
        <v>80</v>
      </c>
      <c r="K10" s="11" t="s">
        <v>81</v>
      </c>
      <c r="L10" s="12">
        <v>2653.2</v>
      </c>
      <c r="M10" s="12">
        <v>756.23</v>
      </c>
      <c r="N10" s="30">
        <v>3</v>
      </c>
      <c r="O10" s="10">
        <v>4</v>
      </c>
    </row>
    <row r="11" spans="2:15" ht="22" customHeight="1" x14ac:dyDescent="0.45">
      <c r="B11" s="25">
        <v>5</v>
      </c>
      <c r="C11" s="25" t="str">
        <f t="shared" si="4"/>
        <v>CUST014</v>
      </c>
      <c r="D11" s="26" t="str">
        <f t="shared" si="0"/>
        <v>Emma Davis</v>
      </c>
      <c r="E11" s="27">
        <f t="shared" si="1"/>
        <v>2637.01</v>
      </c>
      <c r="F11" s="27">
        <f t="shared" si="2"/>
        <v>1076.77</v>
      </c>
      <c r="G11" s="28">
        <f t="shared" si="3"/>
        <v>2</v>
      </c>
      <c r="H11" s="25" t="s">
        <v>283</v>
      </c>
      <c r="J11" s="16" t="s">
        <v>88</v>
      </c>
      <c r="K11" s="17" t="s">
        <v>89</v>
      </c>
      <c r="L11" s="18">
        <v>2637.01</v>
      </c>
      <c r="M11" s="18">
        <v>1076.77</v>
      </c>
      <c r="N11" s="29">
        <v>2</v>
      </c>
      <c r="O11" s="16">
        <v>5</v>
      </c>
    </row>
    <row r="12" spans="2:15" ht="22" customHeight="1" x14ac:dyDescent="0.45">
      <c r="B12" s="25">
        <v>6</v>
      </c>
      <c r="C12" s="25" t="str">
        <f t="shared" si="4"/>
        <v>CUST030</v>
      </c>
      <c r="D12" s="26" t="str">
        <f t="shared" si="0"/>
        <v>Mary Davis</v>
      </c>
      <c r="E12" s="27">
        <f t="shared" si="1"/>
        <v>2401.4499999999998</v>
      </c>
      <c r="F12" s="27">
        <f t="shared" si="2"/>
        <v>1025.1500000000001</v>
      </c>
      <c r="G12" s="28">
        <f t="shared" si="3"/>
        <v>2</v>
      </c>
      <c r="H12" s="25" t="s">
        <v>283</v>
      </c>
      <c r="J12" s="10" t="s">
        <v>70</v>
      </c>
      <c r="K12" s="11" t="s">
        <v>81</v>
      </c>
      <c r="L12" s="12">
        <v>2401.4499999999998</v>
      </c>
      <c r="M12" s="12">
        <v>1025.1500000000001</v>
      </c>
      <c r="N12" s="30">
        <v>2</v>
      </c>
      <c r="O12" s="10">
        <v>6</v>
      </c>
    </row>
    <row r="13" spans="2:15" ht="22" customHeight="1" x14ac:dyDescent="0.45">
      <c r="B13" s="25">
        <v>7</v>
      </c>
      <c r="C13" s="25" t="str">
        <f t="shared" si="4"/>
        <v>CUST003</v>
      </c>
      <c r="D13" s="26" t="str">
        <f t="shared" si="0"/>
        <v>James Davis</v>
      </c>
      <c r="E13" s="27">
        <f t="shared" si="1"/>
        <v>2341.4</v>
      </c>
      <c r="F13" s="27">
        <f t="shared" si="2"/>
        <v>535.08000000000004</v>
      </c>
      <c r="G13" s="28">
        <f t="shared" si="3"/>
        <v>2</v>
      </c>
      <c r="H13" s="25" t="s">
        <v>283</v>
      </c>
      <c r="J13" s="16" t="s">
        <v>151</v>
      </c>
      <c r="K13" s="17" t="s">
        <v>55</v>
      </c>
      <c r="L13" s="18">
        <v>2341.4</v>
      </c>
      <c r="M13" s="18">
        <v>535.08000000000004</v>
      </c>
      <c r="N13" s="29">
        <v>2</v>
      </c>
      <c r="O13" s="16">
        <v>7</v>
      </c>
    </row>
    <row r="14" spans="2:15" ht="22" customHeight="1" x14ac:dyDescent="0.45">
      <c r="B14" s="25">
        <v>8</v>
      </c>
      <c r="C14" s="25" t="str">
        <f t="shared" si="4"/>
        <v>CUST029</v>
      </c>
      <c r="D14" s="26" t="str">
        <f t="shared" si="0"/>
        <v>Emma Wilson</v>
      </c>
      <c r="E14" s="27">
        <f t="shared" si="1"/>
        <v>2273.0700000000002</v>
      </c>
      <c r="F14" s="27">
        <f t="shared" si="2"/>
        <v>610.23</v>
      </c>
      <c r="G14" s="28">
        <f t="shared" si="3"/>
        <v>2</v>
      </c>
      <c r="H14" s="25" t="s">
        <v>283</v>
      </c>
      <c r="J14" s="10" t="s">
        <v>95</v>
      </c>
      <c r="K14" s="11" t="s">
        <v>130</v>
      </c>
      <c r="L14" s="12">
        <v>2273.0700000000002</v>
      </c>
      <c r="M14" s="12">
        <v>610.23</v>
      </c>
      <c r="N14" s="30">
        <v>2</v>
      </c>
      <c r="O14" s="10">
        <v>8</v>
      </c>
    </row>
    <row r="15" spans="2:15" ht="22" customHeight="1" x14ac:dyDescent="0.45">
      <c r="B15" s="25">
        <v>9</v>
      </c>
      <c r="C15" s="25" t="str">
        <f t="shared" si="4"/>
        <v>CUST007</v>
      </c>
      <c r="D15" s="26" t="str">
        <f t="shared" si="0"/>
        <v>David Brown</v>
      </c>
      <c r="E15" s="27">
        <f t="shared" si="1"/>
        <v>2173.1999999999998</v>
      </c>
      <c r="F15" s="27">
        <f t="shared" si="2"/>
        <v>1018.62</v>
      </c>
      <c r="G15" s="28">
        <f t="shared" si="3"/>
        <v>2</v>
      </c>
      <c r="H15" s="25" t="s">
        <v>283</v>
      </c>
      <c r="J15" s="16" t="s">
        <v>74</v>
      </c>
      <c r="K15" s="17" t="s">
        <v>120</v>
      </c>
      <c r="L15" s="18">
        <v>2173.1999999999998</v>
      </c>
      <c r="M15" s="18">
        <v>1018.62</v>
      </c>
      <c r="N15" s="29">
        <v>2</v>
      </c>
      <c r="O15" s="16">
        <v>9</v>
      </c>
    </row>
    <row r="16" spans="2:15" ht="22" customHeight="1" x14ac:dyDescent="0.45">
      <c r="B16" s="25">
        <v>10</v>
      </c>
      <c r="C16" s="25" t="str">
        <f t="shared" si="4"/>
        <v>CUST004</v>
      </c>
      <c r="D16" s="26" t="str">
        <f t="shared" si="0"/>
        <v>Mary Davis</v>
      </c>
      <c r="E16" s="27">
        <f t="shared" si="1"/>
        <v>2162.7399999999998</v>
      </c>
      <c r="F16" s="27">
        <f t="shared" si="2"/>
        <v>907.69</v>
      </c>
      <c r="G16" s="28">
        <f t="shared" si="3"/>
        <v>2</v>
      </c>
      <c r="H16" s="25" t="s">
        <v>283</v>
      </c>
      <c r="J16" s="10" t="s">
        <v>171</v>
      </c>
      <c r="K16" s="11" t="s">
        <v>81</v>
      </c>
      <c r="L16" s="12">
        <v>2162.7399999999998</v>
      </c>
      <c r="M16" s="12">
        <v>907.69</v>
      </c>
      <c r="N16" s="30">
        <v>2</v>
      </c>
      <c r="O16" s="10">
        <v>10</v>
      </c>
    </row>
    <row r="17" spans="10:15" ht="16" x14ac:dyDescent="0.45">
      <c r="J17" s="16" t="s">
        <v>74</v>
      </c>
      <c r="K17" s="17" t="s">
        <v>75</v>
      </c>
      <c r="L17" s="18">
        <v>2157.2199999999998</v>
      </c>
      <c r="M17" s="18">
        <v>756.98</v>
      </c>
      <c r="N17" s="29">
        <v>2</v>
      </c>
      <c r="O17" s="16">
        <v>11</v>
      </c>
    </row>
    <row r="18" spans="10:15" ht="16" x14ac:dyDescent="0.45">
      <c r="J18" s="10" t="s">
        <v>100</v>
      </c>
      <c r="K18" s="11" t="s">
        <v>71</v>
      </c>
      <c r="L18" s="12">
        <v>2095.36</v>
      </c>
      <c r="M18" s="12">
        <v>801.17</v>
      </c>
      <c r="N18" s="30">
        <v>2</v>
      </c>
      <c r="O18" s="10">
        <v>12</v>
      </c>
    </row>
    <row r="19" spans="10:15" ht="16" x14ac:dyDescent="0.45">
      <c r="J19" s="16" t="s">
        <v>124</v>
      </c>
      <c r="K19" s="17" t="s">
        <v>71</v>
      </c>
      <c r="L19" s="18">
        <v>2046.67</v>
      </c>
      <c r="M19" s="18">
        <v>845.32999999999993</v>
      </c>
      <c r="N19" s="29">
        <v>2</v>
      </c>
      <c r="O19" s="16">
        <v>13</v>
      </c>
    </row>
    <row r="20" spans="10:15" ht="16" x14ac:dyDescent="0.45">
      <c r="J20" s="10" t="s">
        <v>116</v>
      </c>
      <c r="K20" s="11" t="s">
        <v>112</v>
      </c>
      <c r="L20" s="12">
        <v>1953.09</v>
      </c>
      <c r="M20" s="12">
        <v>759.27</v>
      </c>
      <c r="N20" s="30">
        <v>2</v>
      </c>
      <c r="O20" s="10">
        <v>14</v>
      </c>
    </row>
    <row r="21" spans="10:15" ht="16" x14ac:dyDescent="0.45">
      <c r="J21" s="16" t="s">
        <v>145</v>
      </c>
      <c r="K21" s="17" t="s">
        <v>107</v>
      </c>
      <c r="L21" s="18">
        <v>1770.15</v>
      </c>
      <c r="M21" s="18">
        <v>674.48</v>
      </c>
      <c r="N21" s="29">
        <v>2</v>
      </c>
      <c r="O21" s="16">
        <v>15</v>
      </c>
    </row>
    <row r="22" spans="10:15" ht="16" x14ac:dyDescent="0.45">
      <c r="J22" s="10" t="s">
        <v>86</v>
      </c>
      <c r="K22" s="11" t="s">
        <v>87</v>
      </c>
      <c r="L22" s="12">
        <v>1734.92</v>
      </c>
      <c r="M22" s="12">
        <v>729.31</v>
      </c>
      <c r="N22" s="30">
        <v>2</v>
      </c>
      <c r="O22" s="10">
        <v>16</v>
      </c>
    </row>
    <row r="23" spans="10:15" ht="16" x14ac:dyDescent="0.45">
      <c r="J23" s="16" t="s">
        <v>116</v>
      </c>
      <c r="K23" s="17" t="s">
        <v>107</v>
      </c>
      <c r="L23" s="18">
        <v>1719.48</v>
      </c>
      <c r="M23" s="18">
        <v>580.23</v>
      </c>
      <c r="N23" s="29">
        <v>2</v>
      </c>
      <c r="O23" s="16">
        <v>17</v>
      </c>
    </row>
    <row r="24" spans="10:15" ht="16" x14ac:dyDescent="0.45">
      <c r="J24" s="10" t="s">
        <v>78</v>
      </c>
      <c r="K24" s="11" t="s">
        <v>102</v>
      </c>
      <c r="L24" s="12">
        <v>1714.62</v>
      </c>
      <c r="M24" s="12">
        <v>562.15000000000009</v>
      </c>
      <c r="N24" s="30">
        <v>2</v>
      </c>
      <c r="O24" s="10">
        <v>18</v>
      </c>
    </row>
    <row r="25" spans="10:15" ht="16" x14ac:dyDescent="0.45">
      <c r="J25" s="16" t="s">
        <v>151</v>
      </c>
      <c r="K25" s="17" t="s">
        <v>89</v>
      </c>
      <c r="L25" s="18">
        <v>1687.58</v>
      </c>
      <c r="M25" s="18">
        <v>637.15</v>
      </c>
      <c r="N25" s="29">
        <v>2</v>
      </c>
      <c r="O25" s="16">
        <v>19</v>
      </c>
    </row>
    <row r="26" spans="10:15" ht="16" x14ac:dyDescent="0.45">
      <c r="J26" s="10" t="s">
        <v>67</v>
      </c>
      <c r="K26" s="11" t="s">
        <v>60</v>
      </c>
      <c r="L26" s="12">
        <v>1679.97</v>
      </c>
      <c r="M26" s="12">
        <v>419.03</v>
      </c>
      <c r="N26" s="30">
        <v>2</v>
      </c>
      <c r="O26" s="10">
        <v>20</v>
      </c>
    </row>
    <row r="27" spans="10:15" ht="16" x14ac:dyDescent="0.45">
      <c r="J27" s="16" t="s">
        <v>165</v>
      </c>
      <c r="K27" s="17" t="s">
        <v>117</v>
      </c>
      <c r="L27" s="18">
        <v>1622.62</v>
      </c>
      <c r="M27" s="18">
        <v>649.04999999999995</v>
      </c>
      <c r="N27" s="29">
        <v>1</v>
      </c>
      <c r="O27" s="16">
        <v>21</v>
      </c>
    </row>
    <row r="28" spans="10:15" ht="16" x14ac:dyDescent="0.45">
      <c r="J28" s="10" t="s">
        <v>145</v>
      </c>
      <c r="K28" s="11" t="s">
        <v>104</v>
      </c>
      <c r="L28" s="12">
        <v>1618.22</v>
      </c>
      <c r="M28" s="12">
        <v>582.55999999999995</v>
      </c>
      <c r="N28" s="30">
        <v>1</v>
      </c>
      <c r="O28" s="10">
        <v>22</v>
      </c>
    </row>
    <row r="29" spans="10:15" ht="16" x14ac:dyDescent="0.45">
      <c r="J29" s="16" t="s">
        <v>83</v>
      </c>
      <c r="K29" s="17" t="s">
        <v>89</v>
      </c>
      <c r="L29" s="18">
        <v>1589.82</v>
      </c>
      <c r="M29" s="18">
        <v>366.75</v>
      </c>
      <c r="N29" s="29">
        <v>2</v>
      </c>
      <c r="O29" s="16">
        <v>23</v>
      </c>
    </row>
    <row r="30" spans="10:15" ht="16" x14ac:dyDescent="0.45">
      <c r="J30" s="10" t="s">
        <v>126</v>
      </c>
      <c r="K30" s="11" t="s">
        <v>87</v>
      </c>
      <c r="L30" s="12">
        <v>1548.66</v>
      </c>
      <c r="M30" s="12">
        <v>706.39</v>
      </c>
      <c r="N30" s="30">
        <v>2</v>
      </c>
      <c r="O30" s="10">
        <v>24</v>
      </c>
    </row>
    <row r="31" spans="10:15" ht="16" x14ac:dyDescent="0.45">
      <c r="J31" s="16" t="s">
        <v>165</v>
      </c>
      <c r="K31" s="17" t="s">
        <v>89</v>
      </c>
      <c r="L31" s="18">
        <v>1526.6</v>
      </c>
      <c r="M31" s="18">
        <v>305.32</v>
      </c>
      <c r="N31" s="29">
        <v>1</v>
      </c>
      <c r="O31" s="16">
        <v>25</v>
      </c>
    </row>
    <row r="32" spans="10:15" ht="16" x14ac:dyDescent="0.45">
      <c r="J32" s="10" t="s">
        <v>103</v>
      </c>
      <c r="K32" s="11" t="s">
        <v>104</v>
      </c>
      <c r="L32" s="12">
        <v>1506.14</v>
      </c>
      <c r="M32" s="12">
        <v>481.96</v>
      </c>
      <c r="N32" s="30">
        <v>1</v>
      </c>
      <c r="O32" s="10">
        <v>26</v>
      </c>
    </row>
    <row r="33" spans="10:15" ht="16" x14ac:dyDescent="0.45">
      <c r="J33" s="16" t="s">
        <v>67</v>
      </c>
      <c r="K33" s="17" t="s">
        <v>98</v>
      </c>
      <c r="L33" s="18">
        <v>1502.93</v>
      </c>
      <c r="M33" s="18">
        <v>300.58999999999997</v>
      </c>
      <c r="N33" s="29">
        <v>1</v>
      </c>
      <c r="O33" s="16">
        <v>27</v>
      </c>
    </row>
    <row r="34" spans="10:15" ht="16" x14ac:dyDescent="0.45">
      <c r="J34" s="10" t="s">
        <v>184</v>
      </c>
      <c r="K34" s="11" t="s">
        <v>79</v>
      </c>
      <c r="L34" s="12">
        <v>1488.58</v>
      </c>
      <c r="M34" s="12">
        <v>316.32</v>
      </c>
      <c r="N34" s="30">
        <v>1</v>
      </c>
      <c r="O34" s="10">
        <v>28</v>
      </c>
    </row>
    <row r="35" spans="10:15" ht="16" x14ac:dyDescent="0.45">
      <c r="J35" s="16" t="s">
        <v>165</v>
      </c>
      <c r="K35" s="17" t="s">
        <v>87</v>
      </c>
      <c r="L35" s="18">
        <v>1465.35</v>
      </c>
      <c r="M35" s="18">
        <v>586.14</v>
      </c>
      <c r="N35" s="29">
        <v>1</v>
      </c>
      <c r="O35" s="16">
        <v>29</v>
      </c>
    </row>
    <row r="36" spans="10:15" ht="16" x14ac:dyDescent="0.45">
      <c r="J36" s="10" t="s">
        <v>184</v>
      </c>
      <c r="K36" s="11" t="s">
        <v>89</v>
      </c>
      <c r="L36" s="12">
        <v>1461.38</v>
      </c>
      <c r="M36" s="12">
        <v>545.79</v>
      </c>
      <c r="N36" s="30">
        <v>2</v>
      </c>
      <c r="O36" s="10">
        <v>30</v>
      </c>
    </row>
    <row r="37" spans="10:15" ht="16" x14ac:dyDescent="0.45">
      <c r="J37" s="16" t="s">
        <v>186</v>
      </c>
      <c r="K37" s="17" t="s">
        <v>167</v>
      </c>
      <c r="L37" s="18">
        <v>1456.94</v>
      </c>
      <c r="M37" s="18">
        <v>692.05</v>
      </c>
      <c r="N37" s="29">
        <v>1</v>
      </c>
      <c r="O37" s="16">
        <v>31</v>
      </c>
    </row>
    <row r="38" spans="10:15" ht="16" x14ac:dyDescent="0.45">
      <c r="J38" s="10" t="s">
        <v>119</v>
      </c>
      <c r="K38" s="11" t="s">
        <v>120</v>
      </c>
      <c r="L38" s="12">
        <v>1450.71</v>
      </c>
      <c r="M38" s="12">
        <v>326.41000000000003</v>
      </c>
      <c r="N38" s="30">
        <v>1</v>
      </c>
      <c r="O38" s="10">
        <v>32</v>
      </c>
    </row>
    <row r="39" spans="10:15" ht="16" x14ac:dyDescent="0.45">
      <c r="J39" s="16" t="s">
        <v>171</v>
      </c>
      <c r="K39" s="17" t="s">
        <v>143</v>
      </c>
      <c r="L39" s="18">
        <v>1443.98</v>
      </c>
      <c r="M39" s="18">
        <v>649.79</v>
      </c>
      <c r="N39" s="29">
        <v>1</v>
      </c>
      <c r="O39" s="16">
        <v>33</v>
      </c>
    </row>
    <row r="40" spans="10:15" ht="16" x14ac:dyDescent="0.45">
      <c r="J40" s="10" t="s">
        <v>78</v>
      </c>
      <c r="K40" s="11" t="s">
        <v>75</v>
      </c>
      <c r="L40" s="12">
        <v>1432.47</v>
      </c>
      <c r="M40" s="12">
        <v>426.16</v>
      </c>
      <c r="N40" s="30">
        <v>1</v>
      </c>
      <c r="O40" s="10">
        <v>34</v>
      </c>
    </row>
    <row r="41" spans="10:15" ht="16" x14ac:dyDescent="0.45">
      <c r="J41" s="16" t="s">
        <v>145</v>
      </c>
      <c r="K41" s="17" t="s">
        <v>112</v>
      </c>
      <c r="L41" s="18">
        <v>1410.59</v>
      </c>
      <c r="M41" s="18">
        <v>352.65</v>
      </c>
      <c r="N41" s="29">
        <v>1</v>
      </c>
      <c r="O41" s="16">
        <v>35</v>
      </c>
    </row>
    <row r="42" spans="10:15" ht="16" x14ac:dyDescent="0.45">
      <c r="J42" s="10" t="s">
        <v>124</v>
      </c>
      <c r="K42" s="11" t="s">
        <v>81</v>
      </c>
      <c r="L42" s="12">
        <v>1383.3</v>
      </c>
      <c r="M42" s="12">
        <v>497.99</v>
      </c>
      <c r="N42" s="30">
        <v>1</v>
      </c>
      <c r="O42" s="10">
        <v>36</v>
      </c>
    </row>
    <row r="43" spans="10:15" ht="16" x14ac:dyDescent="0.45">
      <c r="J43" s="16" t="s">
        <v>159</v>
      </c>
      <c r="K43" s="17" t="s">
        <v>120</v>
      </c>
      <c r="L43" s="18">
        <v>1371.34</v>
      </c>
      <c r="M43" s="18">
        <v>455.97</v>
      </c>
      <c r="N43" s="29">
        <v>1</v>
      </c>
      <c r="O43" s="16">
        <v>37</v>
      </c>
    </row>
    <row r="44" spans="10:15" ht="16" x14ac:dyDescent="0.45">
      <c r="J44" s="10" t="s">
        <v>59</v>
      </c>
      <c r="K44" s="11" t="s">
        <v>128</v>
      </c>
      <c r="L44" s="12">
        <v>1360.36</v>
      </c>
      <c r="M44" s="12">
        <v>680.18</v>
      </c>
      <c r="N44" s="30">
        <v>1</v>
      </c>
      <c r="O44" s="10">
        <v>38</v>
      </c>
    </row>
    <row r="45" spans="10:15" ht="16" x14ac:dyDescent="0.45">
      <c r="J45" s="16" t="s">
        <v>109</v>
      </c>
      <c r="K45" s="17" t="s">
        <v>71</v>
      </c>
      <c r="L45" s="18">
        <v>1353.79</v>
      </c>
      <c r="M45" s="18">
        <v>487.36</v>
      </c>
      <c r="N45" s="29">
        <v>1</v>
      </c>
      <c r="O45" s="16">
        <v>39</v>
      </c>
    </row>
    <row r="46" spans="10:15" ht="16" x14ac:dyDescent="0.45">
      <c r="J46" s="10" t="s">
        <v>83</v>
      </c>
      <c r="K46" s="11" t="s">
        <v>130</v>
      </c>
      <c r="L46" s="12">
        <v>1350.33</v>
      </c>
      <c r="M46" s="12">
        <v>472.62</v>
      </c>
      <c r="N46" s="30">
        <v>1</v>
      </c>
      <c r="O46" s="10">
        <v>40</v>
      </c>
    </row>
    <row r="47" spans="10:15" ht="16" x14ac:dyDescent="0.45">
      <c r="J47" s="16" t="s">
        <v>88</v>
      </c>
      <c r="K47" s="17" t="s">
        <v>87</v>
      </c>
      <c r="L47" s="18">
        <v>1343.13</v>
      </c>
      <c r="M47" s="18">
        <v>456.66</v>
      </c>
      <c r="N47" s="29">
        <v>1</v>
      </c>
      <c r="O47" s="16">
        <v>41</v>
      </c>
    </row>
    <row r="48" spans="10:15" ht="16" x14ac:dyDescent="0.45">
      <c r="J48" s="10" t="s">
        <v>78</v>
      </c>
      <c r="K48" s="11" t="s">
        <v>79</v>
      </c>
      <c r="L48" s="12">
        <v>1317.53</v>
      </c>
      <c r="M48" s="12">
        <v>312.91000000000003</v>
      </c>
      <c r="N48" s="30">
        <v>1</v>
      </c>
      <c r="O48" s="10">
        <v>42</v>
      </c>
    </row>
    <row r="49" spans="10:15" ht="16" x14ac:dyDescent="0.45">
      <c r="J49" s="16" t="s">
        <v>171</v>
      </c>
      <c r="K49" s="17" t="s">
        <v>55</v>
      </c>
      <c r="L49" s="18">
        <v>1311.26</v>
      </c>
      <c r="M49" s="18">
        <v>531.05999999999995</v>
      </c>
      <c r="N49" s="29">
        <v>1</v>
      </c>
      <c r="O49" s="16">
        <v>43</v>
      </c>
    </row>
    <row r="50" spans="10:15" ht="16" x14ac:dyDescent="0.45">
      <c r="J50" s="10" t="s">
        <v>54</v>
      </c>
      <c r="K50" s="11" t="s">
        <v>84</v>
      </c>
      <c r="L50" s="12">
        <v>1301.8900000000001</v>
      </c>
      <c r="M50" s="12">
        <v>553.29999999999995</v>
      </c>
      <c r="N50" s="30">
        <v>1</v>
      </c>
      <c r="O50" s="10">
        <v>44</v>
      </c>
    </row>
    <row r="51" spans="10:15" ht="16" x14ac:dyDescent="0.45">
      <c r="J51" s="16" t="s">
        <v>119</v>
      </c>
      <c r="K51" s="17" t="s">
        <v>104</v>
      </c>
      <c r="L51" s="18">
        <v>1286.54</v>
      </c>
      <c r="M51" s="18">
        <v>450.29</v>
      </c>
      <c r="N51" s="29">
        <v>1</v>
      </c>
      <c r="O51" s="16">
        <v>45</v>
      </c>
    </row>
    <row r="52" spans="10:15" ht="16" x14ac:dyDescent="0.45">
      <c r="J52" s="10" t="s">
        <v>171</v>
      </c>
      <c r="K52" s="11" t="s">
        <v>64</v>
      </c>
      <c r="L52" s="12">
        <v>1277.8499999999999</v>
      </c>
      <c r="M52" s="12">
        <v>511.14</v>
      </c>
      <c r="N52" s="30">
        <v>1</v>
      </c>
      <c r="O52" s="10">
        <v>46</v>
      </c>
    </row>
    <row r="53" spans="10:15" ht="16" x14ac:dyDescent="0.45">
      <c r="J53" s="16" t="s">
        <v>109</v>
      </c>
      <c r="K53" s="17" t="s">
        <v>112</v>
      </c>
      <c r="L53" s="18">
        <v>1264.49</v>
      </c>
      <c r="M53" s="18">
        <v>480.51</v>
      </c>
      <c r="N53" s="29">
        <v>1</v>
      </c>
      <c r="O53" s="16">
        <v>47</v>
      </c>
    </row>
    <row r="54" spans="10:15" ht="16" x14ac:dyDescent="0.45">
      <c r="J54" s="10" t="s">
        <v>67</v>
      </c>
      <c r="K54" s="11" t="s">
        <v>117</v>
      </c>
      <c r="L54" s="12">
        <v>1261.3399999999999</v>
      </c>
      <c r="M54" s="12">
        <v>441.47</v>
      </c>
      <c r="N54" s="30">
        <v>1</v>
      </c>
      <c r="O54" s="10">
        <v>48</v>
      </c>
    </row>
    <row r="55" spans="10:15" ht="16" x14ac:dyDescent="0.45">
      <c r="J55" s="16" t="s">
        <v>100</v>
      </c>
      <c r="K55" s="17" t="s">
        <v>81</v>
      </c>
      <c r="L55" s="18">
        <v>1250.71</v>
      </c>
      <c r="M55" s="18">
        <v>562.82000000000005</v>
      </c>
      <c r="N55" s="29">
        <v>1</v>
      </c>
      <c r="O55" s="16">
        <v>49</v>
      </c>
    </row>
    <row r="56" spans="10:15" ht="16" x14ac:dyDescent="0.45">
      <c r="J56" s="10" t="s">
        <v>182</v>
      </c>
      <c r="K56" s="11" t="s">
        <v>79</v>
      </c>
      <c r="L56" s="12">
        <v>1249.0999999999999</v>
      </c>
      <c r="M56" s="12">
        <v>474.66</v>
      </c>
      <c r="N56" s="30">
        <v>1</v>
      </c>
      <c r="O56" s="10">
        <v>50</v>
      </c>
    </row>
    <row r="57" spans="10:15" ht="16" x14ac:dyDescent="0.45">
      <c r="J57" s="16" t="s">
        <v>80</v>
      </c>
      <c r="K57" s="17" t="s">
        <v>148</v>
      </c>
      <c r="L57" s="18">
        <v>1231.26</v>
      </c>
      <c r="M57" s="18">
        <v>492.5</v>
      </c>
      <c r="N57" s="29">
        <v>1</v>
      </c>
      <c r="O57" s="16">
        <v>51</v>
      </c>
    </row>
    <row r="58" spans="10:15" ht="16" x14ac:dyDescent="0.45">
      <c r="J58" s="10" t="s">
        <v>80</v>
      </c>
      <c r="K58" s="11" t="s">
        <v>130</v>
      </c>
      <c r="L58" s="12">
        <v>1227.25</v>
      </c>
      <c r="M58" s="12">
        <v>365.11</v>
      </c>
      <c r="N58" s="30">
        <v>1</v>
      </c>
      <c r="O58" s="10">
        <v>52</v>
      </c>
    </row>
    <row r="59" spans="10:15" ht="16" x14ac:dyDescent="0.45">
      <c r="J59" s="16" t="s">
        <v>119</v>
      </c>
      <c r="K59" s="17" t="s">
        <v>122</v>
      </c>
      <c r="L59" s="18">
        <v>1225.42</v>
      </c>
      <c r="M59" s="18">
        <v>468.72</v>
      </c>
      <c r="N59" s="29">
        <v>1</v>
      </c>
      <c r="O59" s="16">
        <v>53</v>
      </c>
    </row>
    <row r="60" spans="10:15" ht="16" x14ac:dyDescent="0.45">
      <c r="J60" s="10" t="s">
        <v>59</v>
      </c>
      <c r="K60" s="11" t="s">
        <v>79</v>
      </c>
      <c r="L60" s="12">
        <v>1215.26</v>
      </c>
      <c r="M60" s="12">
        <v>258.24</v>
      </c>
      <c r="N60" s="30">
        <v>1</v>
      </c>
      <c r="O60" s="10">
        <v>54</v>
      </c>
    </row>
    <row r="61" spans="10:15" ht="16" x14ac:dyDescent="0.45">
      <c r="J61" s="16" t="s">
        <v>137</v>
      </c>
      <c r="K61" s="17" t="s">
        <v>130</v>
      </c>
      <c r="L61" s="18">
        <v>1213.48</v>
      </c>
      <c r="M61" s="18">
        <v>461.12</v>
      </c>
      <c r="N61" s="29">
        <v>1</v>
      </c>
      <c r="O61" s="16">
        <v>55</v>
      </c>
    </row>
    <row r="62" spans="10:15" ht="16" x14ac:dyDescent="0.45">
      <c r="J62" s="10" t="s">
        <v>126</v>
      </c>
      <c r="K62" s="11" t="s">
        <v>117</v>
      </c>
      <c r="L62" s="12">
        <v>1200.9000000000001</v>
      </c>
      <c r="M62" s="12">
        <v>513.38</v>
      </c>
      <c r="N62" s="30">
        <v>1</v>
      </c>
      <c r="O62" s="10">
        <v>56</v>
      </c>
    </row>
    <row r="63" spans="10:15" ht="16" x14ac:dyDescent="0.45">
      <c r="J63" s="16" t="s">
        <v>103</v>
      </c>
      <c r="K63" s="17" t="s">
        <v>167</v>
      </c>
      <c r="L63" s="18">
        <v>1193.6099999999999</v>
      </c>
      <c r="M63" s="18">
        <v>355.1</v>
      </c>
      <c r="N63" s="29">
        <v>1</v>
      </c>
      <c r="O63" s="16">
        <v>57</v>
      </c>
    </row>
    <row r="64" spans="10:15" ht="16" x14ac:dyDescent="0.45">
      <c r="J64" s="10" t="s">
        <v>83</v>
      </c>
      <c r="K64" s="11" t="s">
        <v>81</v>
      </c>
      <c r="L64" s="12">
        <v>1189.83</v>
      </c>
      <c r="M64" s="12">
        <v>380.75</v>
      </c>
      <c r="N64" s="30">
        <v>1</v>
      </c>
      <c r="O64" s="10">
        <v>58</v>
      </c>
    </row>
    <row r="65" spans="10:15" ht="16" x14ac:dyDescent="0.45">
      <c r="J65" s="16" t="s">
        <v>124</v>
      </c>
      <c r="K65" s="17" t="s">
        <v>75</v>
      </c>
      <c r="L65" s="18">
        <v>1186.8499999999999</v>
      </c>
      <c r="M65" s="18">
        <v>332.32</v>
      </c>
      <c r="N65" s="29">
        <v>1</v>
      </c>
      <c r="O65" s="16">
        <v>59</v>
      </c>
    </row>
    <row r="66" spans="10:15" ht="16" x14ac:dyDescent="0.45">
      <c r="J66" s="10" t="s">
        <v>83</v>
      </c>
      <c r="K66" s="11" t="s">
        <v>75</v>
      </c>
      <c r="L66" s="12">
        <v>1184.25</v>
      </c>
      <c r="M66" s="12">
        <v>331.59</v>
      </c>
      <c r="N66" s="30">
        <v>1</v>
      </c>
      <c r="O66" s="10">
        <v>60</v>
      </c>
    </row>
    <row r="67" spans="10:15" ht="16" x14ac:dyDescent="0.45">
      <c r="J67" s="16" t="s">
        <v>86</v>
      </c>
      <c r="K67" s="17" t="s">
        <v>112</v>
      </c>
      <c r="L67" s="18">
        <v>1173.1199999999999</v>
      </c>
      <c r="M67" s="18">
        <v>293.27999999999997</v>
      </c>
      <c r="N67" s="29">
        <v>1</v>
      </c>
      <c r="O67" s="16">
        <v>61</v>
      </c>
    </row>
    <row r="68" spans="10:15" ht="16" x14ac:dyDescent="0.45">
      <c r="J68" s="10" t="s">
        <v>182</v>
      </c>
      <c r="K68" s="11" t="s">
        <v>128</v>
      </c>
      <c r="L68" s="12">
        <v>1171.18</v>
      </c>
      <c r="M68" s="12">
        <v>556.30999999999995</v>
      </c>
      <c r="N68" s="30">
        <v>1</v>
      </c>
      <c r="O68" s="10">
        <v>62</v>
      </c>
    </row>
    <row r="69" spans="10:15" ht="16" x14ac:dyDescent="0.45">
      <c r="J69" s="16" t="s">
        <v>80</v>
      </c>
      <c r="K69" s="17" t="s">
        <v>98</v>
      </c>
      <c r="L69" s="18">
        <v>1161.67</v>
      </c>
      <c r="M69" s="18">
        <v>232.33</v>
      </c>
      <c r="N69" s="29">
        <v>1</v>
      </c>
      <c r="O69" s="16">
        <v>63</v>
      </c>
    </row>
    <row r="70" spans="10:15" ht="16" x14ac:dyDescent="0.45">
      <c r="J70" s="10" t="s">
        <v>94</v>
      </c>
      <c r="K70" s="11" t="s">
        <v>71</v>
      </c>
      <c r="L70" s="12">
        <v>1154.33</v>
      </c>
      <c r="M70" s="12">
        <v>441.53</v>
      </c>
      <c r="N70" s="30">
        <v>1</v>
      </c>
      <c r="O70" s="10">
        <v>64</v>
      </c>
    </row>
    <row r="71" spans="10:15" ht="16" x14ac:dyDescent="0.45">
      <c r="J71" s="16" t="s">
        <v>67</v>
      </c>
      <c r="K71" s="17" t="s">
        <v>96</v>
      </c>
      <c r="L71" s="18">
        <v>1151.21</v>
      </c>
      <c r="M71" s="18">
        <v>414.44</v>
      </c>
      <c r="N71" s="29">
        <v>1</v>
      </c>
      <c r="O71" s="16">
        <v>65</v>
      </c>
    </row>
    <row r="72" spans="10:15" ht="16" x14ac:dyDescent="0.45">
      <c r="J72" s="10" t="s">
        <v>124</v>
      </c>
      <c r="K72" s="11" t="s">
        <v>89</v>
      </c>
      <c r="L72" s="12">
        <v>1150.28</v>
      </c>
      <c r="M72" s="12">
        <v>437.11</v>
      </c>
      <c r="N72" s="30">
        <v>1</v>
      </c>
      <c r="O72" s="10">
        <v>66</v>
      </c>
    </row>
    <row r="73" spans="10:15" ht="16" x14ac:dyDescent="0.45">
      <c r="J73" s="16" t="s">
        <v>159</v>
      </c>
      <c r="K73" s="17" t="s">
        <v>84</v>
      </c>
      <c r="L73" s="18">
        <v>1143.69</v>
      </c>
      <c r="M73" s="18">
        <v>400.29</v>
      </c>
      <c r="N73" s="29">
        <v>1</v>
      </c>
      <c r="O73" s="16">
        <v>67</v>
      </c>
    </row>
    <row r="74" spans="10:15" ht="16" x14ac:dyDescent="0.45">
      <c r="J74" s="10" t="s">
        <v>94</v>
      </c>
      <c r="K74" s="11" t="s">
        <v>64</v>
      </c>
      <c r="L74" s="12">
        <v>1118.3399999999999</v>
      </c>
      <c r="M74" s="12">
        <v>447.34</v>
      </c>
      <c r="N74" s="30">
        <v>1</v>
      </c>
      <c r="O74" s="10">
        <v>68</v>
      </c>
    </row>
    <row r="75" spans="10:15" ht="16" x14ac:dyDescent="0.45">
      <c r="J75" s="16" t="s">
        <v>80</v>
      </c>
      <c r="K75" s="17" t="s">
        <v>79</v>
      </c>
      <c r="L75" s="18">
        <v>1111.3399999999999</v>
      </c>
      <c r="M75" s="18">
        <v>500.1</v>
      </c>
      <c r="N75" s="29">
        <v>1</v>
      </c>
      <c r="O75" s="16">
        <v>69</v>
      </c>
    </row>
    <row r="76" spans="10:15" ht="16" x14ac:dyDescent="0.45">
      <c r="J76" s="10" t="s">
        <v>74</v>
      </c>
      <c r="K76" s="11" t="s">
        <v>148</v>
      </c>
      <c r="L76" s="12">
        <v>1101.55</v>
      </c>
      <c r="M76" s="12">
        <v>346.99</v>
      </c>
      <c r="N76" s="30">
        <v>1</v>
      </c>
      <c r="O76" s="10">
        <v>70</v>
      </c>
    </row>
    <row r="77" spans="10:15" ht="16" x14ac:dyDescent="0.45">
      <c r="J77" s="16" t="s">
        <v>59</v>
      </c>
      <c r="K77" s="17" t="s">
        <v>60</v>
      </c>
      <c r="L77" s="18">
        <v>1101.28</v>
      </c>
      <c r="M77" s="18">
        <v>440.51</v>
      </c>
      <c r="N77" s="29">
        <v>1</v>
      </c>
      <c r="O77" s="16">
        <v>71</v>
      </c>
    </row>
    <row r="78" spans="10:15" ht="16" x14ac:dyDescent="0.45">
      <c r="J78" s="10" t="s">
        <v>171</v>
      </c>
      <c r="K78" s="11" t="s">
        <v>79</v>
      </c>
      <c r="L78" s="12">
        <v>1099.69</v>
      </c>
      <c r="M78" s="12">
        <v>439.88</v>
      </c>
      <c r="N78" s="30">
        <v>1</v>
      </c>
      <c r="O78" s="10">
        <v>72</v>
      </c>
    </row>
    <row r="79" spans="10:15" ht="16" x14ac:dyDescent="0.45">
      <c r="J79" s="16" t="s">
        <v>126</v>
      </c>
      <c r="K79" s="17" t="s">
        <v>102</v>
      </c>
      <c r="L79" s="18">
        <v>1098.08</v>
      </c>
      <c r="M79" s="18">
        <v>395.31</v>
      </c>
      <c r="N79" s="29">
        <v>1</v>
      </c>
      <c r="O79" s="16">
        <v>73</v>
      </c>
    </row>
    <row r="80" spans="10:15" ht="16" x14ac:dyDescent="0.45">
      <c r="J80" s="10" t="s">
        <v>100</v>
      </c>
      <c r="K80" s="11" t="s">
        <v>130</v>
      </c>
      <c r="L80" s="12">
        <v>1093.3800000000001</v>
      </c>
      <c r="M80" s="12">
        <v>344.41</v>
      </c>
      <c r="N80" s="30">
        <v>1</v>
      </c>
      <c r="O80" s="10">
        <v>74</v>
      </c>
    </row>
    <row r="81" spans="10:15" ht="16" x14ac:dyDescent="0.45">
      <c r="J81" s="16" t="s">
        <v>70</v>
      </c>
      <c r="K81" s="17" t="s">
        <v>143</v>
      </c>
      <c r="L81" s="18">
        <v>1086.93</v>
      </c>
      <c r="M81" s="18">
        <v>380.43</v>
      </c>
      <c r="N81" s="29">
        <v>1</v>
      </c>
      <c r="O81" s="16">
        <v>75</v>
      </c>
    </row>
    <row r="82" spans="10:15" ht="16" x14ac:dyDescent="0.45">
      <c r="J82" s="10" t="s">
        <v>100</v>
      </c>
      <c r="K82" s="11" t="s">
        <v>102</v>
      </c>
      <c r="L82" s="12">
        <v>1076.33</v>
      </c>
      <c r="M82" s="12">
        <v>484.35</v>
      </c>
      <c r="N82" s="30">
        <v>1</v>
      </c>
      <c r="O82" s="10">
        <v>76</v>
      </c>
    </row>
    <row r="83" spans="10:15" ht="16" x14ac:dyDescent="0.45">
      <c r="J83" s="16" t="s">
        <v>67</v>
      </c>
      <c r="K83" s="17" t="s">
        <v>107</v>
      </c>
      <c r="L83" s="18">
        <v>1070.68</v>
      </c>
      <c r="M83" s="18">
        <v>406.86</v>
      </c>
      <c r="N83" s="29">
        <v>1</v>
      </c>
      <c r="O83" s="16">
        <v>77</v>
      </c>
    </row>
    <row r="84" spans="10:15" ht="16" x14ac:dyDescent="0.45">
      <c r="J84" s="10" t="s">
        <v>186</v>
      </c>
      <c r="K84" s="11" t="s">
        <v>102</v>
      </c>
      <c r="L84" s="12">
        <v>1061.04</v>
      </c>
      <c r="M84" s="12">
        <v>265.26</v>
      </c>
      <c r="N84" s="30">
        <v>1</v>
      </c>
      <c r="O84" s="10">
        <v>78</v>
      </c>
    </row>
    <row r="85" spans="10:15" ht="16" x14ac:dyDescent="0.45">
      <c r="J85" s="16" t="s">
        <v>126</v>
      </c>
      <c r="K85" s="17" t="s">
        <v>60</v>
      </c>
      <c r="L85" s="18">
        <v>1054.56</v>
      </c>
      <c r="M85" s="18">
        <v>332.19</v>
      </c>
      <c r="N85" s="29">
        <v>1</v>
      </c>
      <c r="O85" s="16">
        <v>79</v>
      </c>
    </row>
    <row r="86" spans="10:15" ht="16" x14ac:dyDescent="0.45">
      <c r="J86" s="10" t="s">
        <v>54</v>
      </c>
      <c r="K86" s="11" t="s">
        <v>55</v>
      </c>
      <c r="L86" s="12">
        <v>1036.0899999999999</v>
      </c>
      <c r="M86" s="12">
        <v>331.55</v>
      </c>
      <c r="N86" s="30">
        <v>1</v>
      </c>
      <c r="O86" s="10">
        <v>80</v>
      </c>
    </row>
    <row r="87" spans="10:15" ht="16" x14ac:dyDescent="0.45">
      <c r="J87" s="16" t="s">
        <v>80</v>
      </c>
      <c r="K87" s="17" t="s">
        <v>120</v>
      </c>
      <c r="L87" s="18">
        <v>1029.8</v>
      </c>
      <c r="M87" s="18">
        <v>257.45</v>
      </c>
      <c r="N87" s="29">
        <v>1</v>
      </c>
      <c r="O87" s="16">
        <v>81</v>
      </c>
    </row>
    <row r="88" spans="10:15" ht="16" x14ac:dyDescent="0.45">
      <c r="J88" s="10" t="s">
        <v>109</v>
      </c>
      <c r="K88" s="11" t="s">
        <v>122</v>
      </c>
      <c r="L88" s="12">
        <v>1023.21</v>
      </c>
      <c r="M88" s="12">
        <v>388.82</v>
      </c>
      <c r="N88" s="30">
        <v>1</v>
      </c>
      <c r="O88" s="10">
        <v>82</v>
      </c>
    </row>
    <row r="89" spans="10:15" ht="16" x14ac:dyDescent="0.45">
      <c r="J89" s="16" t="s">
        <v>63</v>
      </c>
      <c r="K89" s="17" t="s">
        <v>81</v>
      </c>
      <c r="L89" s="18">
        <v>1022.23</v>
      </c>
      <c r="M89" s="18">
        <v>460</v>
      </c>
      <c r="N89" s="29">
        <v>1</v>
      </c>
      <c r="O89" s="16">
        <v>83</v>
      </c>
    </row>
    <row r="90" spans="10:15" ht="16" x14ac:dyDescent="0.45">
      <c r="J90" s="10" t="s">
        <v>74</v>
      </c>
      <c r="K90" s="11" t="s">
        <v>84</v>
      </c>
      <c r="L90" s="12">
        <v>1021.47</v>
      </c>
      <c r="M90" s="12">
        <v>242.6</v>
      </c>
      <c r="N90" s="30">
        <v>1</v>
      </c>
      <c r="O90" s="10">
        <v>84</v>
      </c>
    </row>
    <row r="91" spans="10:15" ht="16" x14ac:dyDescent="0.45">
      <c r="J91" s="16" t="s">
        <v>124</v>
      </c>
      <c r="K91" s="17" t="s">
        <v>104</v>
      </c>
      <c r="L91" s="18">
        <v>1020.26</v>
      </c>
      <c r="M91" s="18">
        <v>242.31</v>
      </c>
      <c r="N91" s="29">
        <v>1</v>
      </c>
      <c r="O91" s="16">
        <v>85</v>
      </c>
    </row>
    <row r="92" spans="10:15" ht="16" x14ac:dyDescent="0.45">
      <c r="J92" s="10" t="s">
        <v>119</v>
      </c>
      <c r="K92" s="11" t="s">
        <v>102</v>
      </c>
      <c r="L92" s="12">
        <v>1014.56</v>
      </c>
      <c r="M92" s="12">
        <v>410.9</v>
      </c>
      <c r="N92" s="30">
        <v>1</v>
      </c>
      <c r="O92" s="10">
        <v>86</v>
      </c>
    </row>
    <row r="93" spans="10:15" ht="16" x14ac:dyDescent="0.45">
      <c r="J93" s="16" t="s">
        <v>182</v>
      </c>
      <c r="K93" s="17" t="s">
        <v>117</v>
      </c>
      <c r="L93" s="18">
        <v>1014.43</v>
      </c>
      <c r="M93" s="18">
        <v>344.91</v>
      </c>
      <c r="N93" s="29">
        <v>1</v>
      </c>
      <c r="O93" s="16">
        <v>87</v>
      </c>
    </row>
    <row r="94" spans="10:15" ht="16" x14ac:dyDescent="0.45">
      <c r="J94" s="10" t="s">
        <v>100</v>
      </c>
      <c r="K94" s="11" t="s">
        <v>122</v>
      </c>
      <c r="L94" s="12">
        <v>1014.09</v>
      </c>
      <c r="M94" s="12">
        <v>202.82</v>
      </c>
      <c r="N94" s="30">
        <v>1</v>
      </c>
      <c r="O94" s="10">
        <v>88</v>
      </c>
    </row>
    <row r="95" spans="10:15" ht="16" x14ac:dyDescent="0.45">
      <c r="J95" s="16" t="s">
        <v>119</v>
      </c>
      <c r="K95" s="17" t="s">
        <v>107</v>
      </c>
      <c r="L95" s="18">
        <v>1010.58</v>
      </c>
      <c r="M95" s="18">
        <v>343.6</v>
      </c>
      <c r="N95" s="29">
        <v>1</v>
      </c>
      <c r="O95" s="16">
        <v>89</v>
      </c>
    </row>
    <row r="96" spans="10:15" ht="16" x14ac:dyDescent="0.45">
      <c r="J96" s="10" t="s">
        <v>137</v>
      </c>
      <c r="K96" s="11" t="s">
        <v>81</v>
      </c>
      <c r="L96" s="12">
        <v>1001.57</v>
      </c>
      <c r="M96" s="12">
        <v>450.71</v>
      </c>
      <c r="N96" s="30">
        <v>1</v>
      </c>
      <c r="O96" s="10">
        <v>90</v>
      </c>
    </row>
    <row r="97" spans="10:15" ht="16" x14ac:dyDescent="0.45">
      <c r="J97" s="16" t="s">
        <v>129</v>
      </c>
      <c r="K97" s="17" t="s">
        <v>75</v>
      </c>
      <c r="L97" s="18">
        <v>990.19</v>
      </c>
      <c r="M97" s="18">
        <v>445.59</v>
      </c>
      <c r="N97" s="29">
        <v>1</v>
      </c>
      <c r="O97" s="16">
        <v>91</v>
      </c>
    </row>
    <row r="98" spans="10:15" ht="16" x14ac:dyDescent="0.45">
      <c r="J98" s="10" t="s">
        <v>124</v>
      </c>
      <c r="K98" s="11" t="s">
        <v>120</v>
      </c>
      <c r="L98" s="12">
        <v>984.93</v>
      </c>
      <c r="M98" s="12">
        <v>275.77999999999997</v>
      </c>
      <c r="N98" s="30">
        <v>1</v>
      </c>
      <c r="O98" s="10">
        <v>92</v>
      </c>
    </row>
    <row r="99" spans="10:15" ht="16" x14ac:dyDescent="0.45">
      <c r="J99" s="16" t="s">
        <v>116</v>
      </c>
      <c r="K99" s="17" t="s">
        <v>117</v>
      </c>
      <c r="L99" s="18">
        <v>983.34</v>
      </c>
      <c r="M99" s="18">
        <v>398.25</v>
      </c>
      <c r="N99" s="29">
        <v>1</v>
      </c>
      <c r="O99" s="16">
        <v>93</v>
      </c>
    </row>
    <row r="100" spans="10:15" ht="16" x14ac:dyDescent="0.45">
      <c r="J100" s="10" t="s">
        <v>159</v>
      </c>
      <c r="K100" s="11" t="s">
        <v>163</v>
      </c>
      <c r="L100" s="12">
        <v>981.2</v>
      </c>
      <c r="M100" s="12">
        <v>441.54</v>
      </c>
      <c r="N100" s="30">
        <v>1</v>
      </c>
      <c r="O100" s="10">
        <v>94</v>
      </c>
    </row>
    <row r="101" spans="10:15" ht="16" x14ac:dyDescent="0.45">
      <c r="J101" s="16" t="s">
        <v>165</v>
      </c>
      <c r="K101" s="17" t="s">
        <v>148</v>
      </c>
      <c r="L101" s="18">
        <v>980.18</v>
      </c>
      <c r="M101" s="18">
        <v>352.86</v>
      </c>
      <c r="N101" s="29">
        <v>1</v>
      </c>
      <c r="O101" s="16">
        <v>95</v>
      </c>
    </row>
    <row r="102" spans="10:15" ht="16" x14ac:dyDescent="0.45">
      <c r="J102" s="10" t="s">
        <v>70</v>
      </c>
      <c r="K102" s="11" t="s">
        <v>148</v>
      </c>
      <c r="L102" s="12">
        <v>973.26</v>
      </c>
      <c r="M102" s="12">
        <v>389.3</v>
      </c>
      <c r="N102" s="30">
        <v>1</v>
      </c>
      <c r="O102" s="10">
        <v>96</v>
      </c>
    </row>
    <row r="103" spans="10:15" ht="16" x14ac:dyDescent="0.45">
      <c r="J103" s="16" t="s">
        <v>124</v>
      </c>
      <c r="K103" s="17" t="s">
        <v>98</v>
      </c>
      <c r="L103" s="18">
        <v>967.89</v>
      </c>
      <c r="M103" s="18">
        <v>217.78</v>
      </c>
      <c r="N103" s="29">
        <v>1</v>
      </c>
      <c r="O103" s="16">
        <v>97</v>
      </c>
    </row>
    <row r="104" spans="10:15" ht="16" x14ac:dyDescent="0.45">
      <c r="J104" s="10" t="s">
        <v>186</v>
      </c>
      <c r="K104" s="11" t="s">
        <v>104</v>
      </c>
      <c r="L104" s="12">
        <v>966.3</v>
      </c>
      <c r="M104" s="12">
        <v>328.54</v>
      </c>
      <c r="N104" s="30">
        <v>1</v>
      </c>
      <c r="O104" s="10">
        <v>98</v>
      </c>
    </row>
    <row r="105" spans="10:15" ht="16" x14ac:dyDescent="0.45">
      <c r="J105" s="16" t="s">
        <v>88</v>
      </c>
      <c r="K105" s="17" t="s">
        <v>143</v>
      </c>
      <c r="L105" s="18">
        <v>961.62</v>
      </c>
      <c r="M105" s="18">
        <v>307.72000000000003</v>
      </c>
      <c r="N105" s="29">
        <v>1</v>
      </c>
      <c r="O105" s="16">
        <v>99</v>
      </c>
    </row>
    <row r="106" spans="10:15" ht="16" x14ac:dyDescent="0.45">
      <c r="J106" s="10" t="s">
        <v>80</v>
      </c>
      <c r="K106" s="11" t="s">
        <v>128</v>
      </c>
      <c r="L106" s="12">
        <v>957.29</v>
      </c>
      <c r="M106" s="12">
        <v>318.3</v>
      </c>
      <c r="N106" s="30">
        <v>1</v>
      </c>
      <c r="O106" s="10">
        <v>100</v>
      </c>
    </row>
    <row r="107" spans="10:15" ht="16" x14ac:dyDescent="0.45">
      <c r="J107" s="16" t="s">
        <v>184</v>
      </c>
      <c r="K107" s="17" t="s">
        <v>71</v>
      </c>
      <c r="L107" s="18">
        <v>956.08</v>
      </c>
      <c r="M107" s="18">
        <v>378.54</v>
      </c>
      <c r="N107" s="29">
        <v>2</v>
      </c>
      <c r="O107" s="16">
        <v>101</v>
      </c>
    </row>
    <row r="108" spans="10:15" ht="16" x14ac:dyDescent="0.45">
      <c r="J108" s="10" t="s">
        <v>74</v>
      </c>
      <c r="K108" s="11" t="s">
        <v>107</v>
      </c>
      <c r="L108" s="12">
        <v>953.3</v>
      </c>
      <c r="M108" s="12">
        <v>476.65</v>
      </c>
      <c r="N108" s="30">
        <v>1</v>
      </c>
      <c r="O108" s="10">
        <v>102</v>
      </c>
    </row>
    <row r="109" spans="10:15" ht="16" x14ac:dyDescent="0.45">
      <c r="J109" s="16" t="s">
        <v>74</v>
      </c>
      <c r="K109" s="17" t="s">
        <v>60</v>
      </c>
      <c r="L109" s="18">
        <v>939.09</v>
      </c>
      <c r="M109" s="18">
        <v>356.85</v>
      </c>
      <c r="N109" s="29">
        <v>1</v>
      </c>
      <c r="O109" s="16">
        <v>103</v>
      </c>
    </row>
    <row r="110" spans="10:15" ht="16" x14ac:dyDescent="0.45">
      <c r="J110" s="10" t="s">
        <v>88</v>
      </c>
      <c r="K110" s="11" t="s">
        <v>98</v>
      </c>
      <c r="L110" s="12">
        <v>934.27</v>
      </c>
      <c r="M110" s="12">
        <v>397.06</v>
      </c>
      <c r="N110" s="30">
        <v>1</v>
      </c>
      <c r="O110" s="10">
        <v>104</v>
      </c>
    </row>
    <row r="111" spans="10:15" ht="16" x14ac:dyDescent="0.45">
      <c r="J111" s="16" t="s">
        <v>129</v>
      </c>
      <c r="K111" s="17" t="s">
        <v>87</v>
      </c>
      <c r="L111" s="18">
        <v>928.32</v>
      </c>
      <c r="M111" s="18">
        <v>440.95</v>
      </c>
      <c r="N111" s="29">
        <v>1</v>
      </c>
      <c r="O111" s="16">
        <v>105</v>
      </c>
    </row>
    <row r="112" spans="10:15" ht="16" x14ac:dyDescent="0.45">
      <c r="J112" s="10" t="s">
        <v>59</v>
      </c>
      <c r="K112" s="11" t="s">
        <v>81</v>
      </c>
      <c r="L112" s="12">
        <v>925.31</v>
      </c>
      <c r="M112" s="12">
        <v>374.75</v>
      </c>
      <c r="N112" s="30">
        <v>1</v>
      </c>
      <c r="O112" s="10">
        <v>106</v>
      </c>
    </row>
    <row r="113" spans="10:15" ht="16" x14ac:dyDescent="0.45">
      <c r="J113" s="16" t="s">
        <v>59</v>
      </c>
      <c r="K113" s="17" t="s">
        <v>107</v>
      </c>
      <c r="L113" s="18">
        <v>925.29</v>
      </c>
      <c r="M113" s="18">
        <v>231.32</v>
      </c>
      <c r="N113" s="29">
        <v>1</v>
      </c>
      <c r="O113" s="16">
        <v>107</v>
      </c>
    </row>
    <row r="114" spans="10:15" ht="16" x14ac:dyDescent="0.45">
      <c r="J114" s="10" t="s">
        <v>95</v>
      </c>
      <c r="K114" s="11" t="s">
        <v>102</v>
      </c>
      <c r="L114" s="12">
        <v>919.18</v>
      </c>
      <c r="M114" s="12">
        <v>195.33</v>
      </c>
      <c r="N114" s="30">
        <v>1</v>
      </c>
      <c r="O114" s="10">
        <v>108</v>
      </c>
    </row>
    <row r="115" spans="10:15" ht="16" x14ac:dyDescent="0.45">
      <c r="J115" s="16" t="s">
        <v>159</v>
      </c>
      <c r="K115" s="17" t="s">
        <v>64</v>
      </c>
      <c r="L115" s="18">
        <v>917.48</v>
      </c>
      <c r="M115" s="18">
        <v>366.99</v>
      </c>
      <c r="N115" s="29">
        <v>1</v>
      </c>
      <c r="O115" s="16">
        <v>109</v>
      </c>
    </row>
    <row r="116" spans="10:15" ht="16" x14ac:dyDescent="0.45">
      <c r="J116" s="10" t="s">
        <v>78</v>
      </c>
      <c r="K116" s="11" t="s">
        <v>98</v>
      </c>
      <c r="L116" s="12">
        <v>894.55</v>
      </c>
      <c r="M116" s="12">
        <v>178.91</v>
      </c>
      <c r="N116" s="30">
        <v>1</v>
      </c>
      <c r="O116" s="10">
        <v>110</v>
      </c>
    </row>
    <row r="117" spans="10:15" ht="16" x14ac:dyDescent="0.45">
      <c r="J117" s="16" t="s">
        <v>137</v>
      </c>
      <c r="K117" s="17" t="s">
        <v>79</v>
      </c>
      <c r="L117" s="18">
        <v>884.63</v>
      </c>
      <c r="M117" s="18">
        <v>318.47000000000003</v>
      </c>
      <c r="N117" s="29">
        <v>1</v>
      </c>
      <c r="O117" s="16">
        <v>111</v>
      </c>
    </row>
    <row r="118" spans="10:15" ht="16" x14ac:dyDescent="0.45">
      <c r="J118" s="10" t="s">
        <v>100</v>
      </c>
      <c r="K118" s="11" t="s">
        <v>60</v>
      </c>
      <c r="L118" s="12">
        <v>877.58</v>
      </c>
      <c r="M118" s="12">
        <v>298.38</v>
      </c>
      <c r="N118" s="30">
        <v>1</v>
      </c>
      <c r="O118" s="10">
        <v>112</v>
      </c>
    </row>
    <row r="119" spans="10:15" ht="16" x14ac:dyDescent="0.45">
      <c r="J119" s="16" t="s">
        <v>145</v>
      </c>
      <c r="K119" s="17" t="s">
        <v>81</v>
      </c>
      <c r="L119" s="18">
        <v>876.44</v>
      </c>
      <c r="M119" s="18">
        <v>333.05</v>
      </c>
      <c r="N119" s="29">
        <v>1</v>
      </c>
      <c r="O119" s="16">
        <v>113</v>
      </c>
    </row>
    <row r="120" spans="10:15" ht="16" x14ac:dyDescent="0.45">
      <c r="J120" s="10" t="s">
        <v>94</v>
      </c>
      <c r="K120" s="11" t="s">
        <v>120</v>
      </c>
      <c r="L120" s="12">
        <v>873.7</v>
      </c>
      <c r="M120" s="12">
        <v>305.8</v>
      </c>
      <c r="N120" s="30">
        <v>1</v>
      </c>
      <c r="O120" s="10">
        <v>114</v>
      </c>
    </row>
    <row r="121" spans="10:15" ht="16" x14ac:dyDescent="0.45">
      <c r="J121" s="16" t="s">
        <v>129</v>
      </c>
      <c r="K121" s="17" t="s">
        <v>64</v>
      </c>
      <c r="L121" s="18">
        <v>870.23</v>
      </c>
      <c r="M121" s="18">
        <v>413.36</v>
      </c>
      <c r="N121" s="29">
        <v>1</v>
      </c>
      <c r="O121" s="16">
        <v>115</v>
      </c>
    </row>
    <row r="122" spans="10:15" ht="16" x14ac:dyDescent="0.45">
      <c r="J122" s="10" t="s">
        <v>95</v>
      </c>
      <c r="K122" s="11" t="s">
        <v>120</v>
      </c>
      <c r="L122" s="12">
        <v>864.98</v>
      </c>
      <c r="M122" s="12">
        <v>410.87</v>
      </c>
      <c r="N122" s="30">
        <v>1</v>
      </c>
      <c r="O122" s="10">
        <v>116</v>
      </c>
    </row>
    <row r="123" spans="10:15" ht="16" x14ac:dyDescent="0.45">
      <c r="J123" s="16" t="s">
        <v>86</v>
      </c>
      <c r="K123" s="17" t="s">
        <v>79</v>
      </c>
      <c r="L123" s="18">
        <v>862.19</v>
      </c>
      <c r="M123" s="18">
        <v>286.68</v>
      </c>
      <c r="N123" s="29">
        <v>1</v>
      </c>
      <c r="O123" s="16">
        <v>117</v>
      </c>
    </row>
    <row r="124" spans="10:15" ht="16" x14ac:dyDescent="0.45">
      <c r="J124" s="10" t="s">
        <v>63</v>
      </c>
      <c r="K124" s="11" t="s">
        <v>135</v>
      </c>
      <c r="L124" s="12">
        <v>856.7</v>
      </c>
      <c r="M124" s="12">
        <v>214.18</v>
      </c>
      <c r="N124" s="30">
        <v>1</v>
      </c>
      <c r="O124" s="10">
        <v>118</v>
      </c>
    </row>
    <row r="125" spans="10:15" ht="16" x14ac:dyDescent="0.45">
      <c r="J125" s="16" t="s">
        <v>88</v>
      </c>
      <c r="K125" s="17" t="s">
        <v>167</v>
      </c>
      <c r="L125" s="18">
        <v>853.86</v>
      </c>
      <c r="M125" s="18">
        <v>268.97000000000003</v>
      </c>
      <c r="N125" s="29">
        <v>1</v>
      </c>
      <c r="O125" s="16">
        <v>119</v>
      </c>
    </row>
    <row r="126" spans="10:15" ht="16" x14ac:dyDescent="0.45">
      <c r="J126" s="10" t="s">
        <v>78</v>
      </c>
      <c r="K126" s="11" t="s">
        <v>104</v>
      </c>
      <c r="L126" s="12">
        <v>853.72</v>
      </c>
      <c r="M126" s="12">
        <v>253.98</v>
      </c>
      <c r="N126" s="30">
        <v>1</v>
      </c>
      <c r="O126" s="10">
        <v>120</v>
      </c>
    </row>
    <row r="127" spans="10:15" ht="16" x14ac:dyDescent="0.45">
      <c r="J127" s="16" t="s">
        <v>70</v>
      </c>
      <c r="K127" s="17" t="s">
        <v>71</v>
      </c>
      <c r="L127" s="18">
        <v>847</v>
      </c>
      <c r="M127" s="18">
        <v>271.04000000000002</v>
      </c>
      <c r="N127" s="29">
        <v>1</v>
      </c>
      <c r="O127" s="16">
        <v>121</v>
      </c>
    </row>
    <row r="128" spans="10:15" ht="16" x14ac:dyDescent="0.45">
      <c r="J128" s="10" t="s">
        <v>59</v>
      </c>
      <c r="K128" s="11" t="s">
        <v>102</v>
      </c>
      <c r="L128" s="12">
        <v>845.84</v>
      </c>
      <c r="M128" s="12">
        <v>422.92</v>
      </c>
      <c r="N128" s="30">
        <v>1</v>
      </c>
      <c r="O128" s="10">
        <v>122</v>
      </c>
    </row>
    <row r="129" spans="10:15" ht="16" x14ac:dyDescent="0.45">
      <c r="J129" s="16" t="s">
        <v>54</v>
      </c>
      <c r="K129" s="17" t="s">
        <v>120</v>
      </c>
      <c r="L129" s="18">
        <v>840.92</v>
      </c>
      <c r="M129" s="18">
        <v>359.49</v>
      </c>
      <c r="N129" s="29">
        <v>1</v>
      </c>
      <c r="O129" s="16">
        <v>123</v>
      </c>
    </row>
    <row r="130" spans="10:15" ht="16" x14ac:dyDescent="0.45">
      <c r="J130" s="10" t="s">
        <v>74</v>
      </c>
      <c r="K130" s="11" t="s">
        <v>89</v>
      </c>
      <c r="L130" s="12">
        <v>833.91</v>
      </c>
      <c r="M130" s="12">
        <v>356.5</v>
      </c>
      <c r="N130" s="30">
        <v>1</v>
      </c>
      <c r="O130" s="10">
        <v>124</v>
      </c>
    </row>
    <row r="131" spans="10:15" ht="16" x14ac:dyDescent="0.45">
      <c r="J131" s="16" t="s">
        <v>186</v>
      </c>
      <c r="K131" s="17" t="s">
        <v>81</v>
      </c>
      <c r="L131" s="18">
        <v>826.97</v>
      </c>
      <c r="M131" s="18">
        <v>330.79</v>
      </c>
      <c r="N131" s="29">
        <v>1</v>
      </c>
      <c r="O131" s="16">
        <v>125</v>
      </c>
    </row>
    <row r="132" spans="10:15" ht="16" x14ac:dyDescent="0.45">
      <c r="J132" s="10" t="s">
        <v>63</v>
      </c>
      <c r="K132" s="11" t="s">
        <v>143</v>
      </c>
      <c r="L132" s="12">
        <v>826.93</v>
      </c>
      <c r="M132" s="12">
        <v>297.69</v>
      </c>
      <c r="N132" s="30">
        <v>1</v>
      </c>
      <c r="O132" s="10">
        <v>126</v>
      </c>
    </row>
    <row r="133" spans="10:15" ht="16" x14ac:dyDescent="0.45">
      <c r="J133" s="16" t="s">
        <v>94</v>
      </c>
      <c r="K133" s="17" t="s">
        <v>60</v>
      </c>
      <c r="L133" s="18">
        <v>822.28</v>
      </c>
      <c r="M133" s="18">
        <v>273.41000000000003</v>
      </c>
      <c r="N133" s="29">
        <v>1</v>
      </c>
      <c r="O133" s="16">
        <v>127</v>
      </c>
    </row>
    <row r="134" spans="10:15" ht="16" x14ac:dyDescent="0.45">
      <c r="J134" s="10" t="s">
        <v>126</v>
      </c>
      <c r="K134" s="11" t="s">
        <v>167</v>
      </c>
      <c r="L134" s="12">
        <v>820.19</v>
      </c>
      <c r="M134" s="12">
        <v>229.65</v>
      </c>
      <c r="N134" s="30">
        <v>1</v>
      </c>
      <c r="O134" s="10">
        <v>128</v>
      </c>
    </row>
    <row r="135" spans="10:15" ht="16" x14ac:dyDescent="0.45">
      <c r="J135" s="16" t="s">
        <v>145</v>
      </c>
      <c r="K135" s="17" t="s">
        <v>130</v>
      </c>
      <c r="L135" s="18">
        <v>806.03</v>
      </c>
      <c r="M135" s="18">
        <v>268</v>
      </c>
      <c r="N135" s="29">
        <v>1</v>
      </c>
      <c r="O135" s="16">
        <v>129</v>
      </c>
    </row>
    <row r="136" spans="10:15" ht="16" x14ac:dyDescent="0.45">
      <c r="J136" s="10" t="s">
        <v>100</v>
      </c>
      <c r="K136" s="11" t="s">
        <v>55</v>
      </c>
      <c r="L136" s="12">
        <v>804.81</v>
      </c>
      <c r="M136" s="12">
        <v>344.06</v>
      </c>
      <c r="N136" s="30">
        <v>1</v>
      </c>
      <c r="O136" s="10">
        <v>130</v>
      </c>
    </row>
    <row r="137" spans="10:15" ht="16" x14ac:dyDescent="0.45">
      <c r="J137" s="16" t="s">
        <v>59</v>
      </c>
      <c r="K137" s="17" t="s">
        <v>167</v>
      </c>
      <c r="L137" s="18">
        <v>804.45</v>
      </c>
      <c r="M137" s="18">
        <v>257.42</v>
      </c>
      <c r="N137" s="29">
        <v>1</v>
      </c>
      <c r="O137" s="16">
        <v>131</v>
      </c>
    </row>
    <row r="138" spans="10:15" ht="16" x14ac:dyDescent="0.45">
      <c r="J138" s="10" t="s">
        <v>100</v>
      </c>
      <c r="K138" s="11" t="s">
        <v>113</v>
      </c>
      <c r="L138" s="12">
        <v>775.45</v>
      </c>
      <c r="M138" s="12">
        <v>174.48</v>
      </c>
      <c r="N138" s="30">
        <v>1</v>
      </c>
      <c r="O138" s="10">
        <v>132</v>
      </c>
    </row>
    <row r="139" spans="10:15" ht="16" x14ac:dyDescent="0.45">
      <c r="J139" s="16" t="s">
        <v>100</v>
      </c>
      <c r="K139" s="17" t="s">
        <v>128</v>
      </c>
      <c r="L139" s="18">
        <v>773.09</v>
      </c>
      <c r="M139" s="18">
        <v>229.99</v>
      </c>
      <c r="N139" s="29">
        <v>1</v>
      </c>
      <c r="O139" s="16">
        <v>133</v>
      </c>
    </row>
    <row r="140" spans="10:15" ht="16" x14ac:dyDescent="0.45">
      <c r="J140" s="10" t="s">
        <v>74</v>
      </c>
      <c r="K140" s="11" t="s">
        <v>55</v>
      </c>
      <c r="L140" s="12">
        <v>762.14</v>
      </c>
      <c r="M140" s="12">
        <v>381.07</v>
      </c>
      <c r="N140" s="30">
        <v>1</v>
      </c>
      <c r="O140" s="10">
        <v>134</v>
      </c>
    </row>
    <row r="141" spans="10:15" ht="16" x14ac:dyDescent="0.45">
      <c r="J141" s="16" t="s">
        <v>70</v>
      </c>
      <c r="K141" s="17" t="s">
        <v>117</v>
      </c>
      <c r="L141" s="18">
        <v>750.71</v>
      </c>
      <c r="M141" s="18">
        <v>255.24</v>
      </c>
      <c r="N141" s="29">
        <v>1</v>
      </c>
      <c r="O141" s="16">
        <v>135</v>
      </c>
    </row>
    <row r="142" spans="10:15" ht="16" x14ac:dyDescent="0.45">
      <c r="J142" s="10" t="s">
        <v>54</v>
      </c>
      <c r="K142" s="11" t="s">
        <v>81</v>
      </c>
      <c r="L142" s="12">
        <v>743.17</v>
      </c>
      <c r="M142" s="12">
        <v>297.27</v>
      </c>
      <c r="N142" s="30">
        <v>1</v>
      </c>
      <c r="O142" s="10">
        <v>136</v>
      </c>
    </row>
    <row r="143" spans="10:15" ht="16" x14ac:dyDescent="0.45">
      <c r="J143" s="16" t="s">
        <v>165</v>
      </c>
      <c r="K143" s="17" t="s">
        <v>79</v>
      </c>
      <c r="L143" s="18">
        <v>741.88</v>
      </c>
      <c r="M143" s="18">
        <v>333.85</v>
      </c>
      <c r="N143" s="29">
        <v>1</v>
      </c>
      <c r="O143" s="16">
        <v>137</v>
      </c>
    </row>
    <row r="144" spans="10:15" ht="16" x14ac:dyDescent="0.45">
      <c r="J144" s="10" t="s">
        <v>95</v>
      </c>
      <c r="K144" s="11" t="s">
        <v>143</v>
      </c>
      <c r="L144" s="12">
        <v>741.61</v>
      </c>
      <c r="M144" s="12">
        <v>148.32</v>
      </c>
      <c r="N144" s="30">
        <v>1</v>
      </c>
      <c r="O144" s="10">
        <v>138</v>
      </c>
    </row>
    <row r="145" spans="10:15" ht="16" x14ac:dyDescent="0.45">
      <c r="J145" s="16" t="s">
        <v>116</v>
      </c>
      <c r="K145" s="17" t="s">
        <v>60</v>
      </c>
      <c r="L145" s="18">
        <v>740.8</v>
      </c>
      <c r="M145" s="18">
        <v>333.36</v>
      </c>
      <c r="N145" s="29">
        <v>1</v>
      </c>
      <c r="O145" s="16">
        <v>139</v>
      </c>
    </row>
    <row r="146" spans="10:15" ht="16" x14ac:dyDescent="0.45">
      <c r="J146" s="10" t="s">
        <v>119</v>
      </c>
      <c r="K146" s="11" t="s">
        <v>148</v>
      </c>
      <c r="L146" s="12">
        <v>728.71</v>
      </c>
      <c r="M146" s="12">
        <v>327.92</v>
      </c>
      <c r="N146" s="30">
        <v>1</v>
      </c>
      <c r="O146" s="10">
        <v>140</v>
      </c>
    </row>
    <row r="147" spans="10:15" ht="16" x14ac:dyDescent="0.45">
      <c r="J147" s="16" t="s">
        <v>182</v>
      </c>
      <c r="K147" s="17" t="s">
        <v>60</v>
      </c>
      <c r="L147" s="18">
        <v>727.73</v>
      </c>
      <c r="M147" s="18">
        <v>229.23</v>
      </c>
      <c r="N147" s="29">
        <v>1</v>
      </c>
      <c r="O147" s="16">
        <v>141</v>
      </c>
    </row>
    <row r="148" spans="10:15" ht="16" x14ac:dyDescent="0.45">
      <c r="J148" s="10" t="s">
        <v>54</v>
      </c>
      <c r="K148" s="11" t="s">
        <v>64</v>
      </c>
      <c r="L148" s="12">
        <v>718.04</v>
      </c>
      <c r="M148" s="12">
        <v>179.51</v>
      </c>
      <c r="N148" s="30">
        <v>1</v>
      </c>
      <c r="O148" s="10">
        <v>142</v>
      </c>
    </row>
    <row r="149" spans="10:15" ht="16" x14ac:dyDescent="0.45">
      <c r="J149" s="16" t="s">
        <v>63</v>
      </c>
      <c r="K149" s="17" t="s">
        <v>64</v>
      </c>
      <c r="L149" s="18">
        <v>713.34</v>
      </c>
      <c r="M149" s="18">
        <v>285.33999999999997</v>
      </c>
      <c r="N149" s="29">
        <v>1</v>
      </c>
      <c r="O149" s="16">
        <v>143</v>
      </c>
    </row>
    <row r="150" spans="10:15" ht="16" x14ac:dyDescent="0.45">
      <c r="J150" s="10" t="s">
        <v>116</v>
      </c>
      <c r="K150" s="11" t="s">
        <v>143</v>
      </c>
      <c r="L150" s="12">
        <v>710.52</v>
      </c>
      <c r="M150" s="12">
        <v>255.79</v>
      </c>
      <c r="N150" s="30">
        <v>1</v>
      </c>
      <c r="O150" s="10">
        <v>144</v>
      </c>
    </row>
    <row r="151" spans="10:15" ht="16" x14ac:dyDescent="0.45">
      <c r="J151" s="16" t="s">
        <v>165</v>
      </c>
      <c r="K151" s="17" t="s">
        <v>71</v>
      </c>
      <c r="L151" s="18">
        <v>706.73</v>
      </c>
      <c r="M151" s="18">
        <v>150.18</v>
      </c>
      <c r="N151" s="29">
        <v>1</v>
      </c>
      <c r="O151" s="16">
        <v>145</v>
      </c>
    </row>
    <row r="152" spans="10:15" ht="16" x14ac:dyDescent="0.45">
      <c r="J152" s="10" t="s">
        <v>94</v>
      </c>
      <c r="K152" s="11" t="s">
        <v>81</v>
      </c>
      <c r="L152" s="12">
        <v>706.37</v>
      </c>
      <c r="M152" s="12">
        <v>176.59</v>
      </c>
      <c r="N152" s="30">
        <v>1</v>
      </c>
      <c r="O152" s="10">
        <v>146</v>
      </c>
    </row>
    <row r="153" spans="10:15" ht="16" x14ac:dyDescent="0.45">
      <c r="J153" s="16" t="s">
        <v>151</v>
      </c>
      <c r="K153" s="17" t="s">
        <v>98</v>
      </c>
      <c r="L153" s="18">
        <v>704.28</v>
      </c>
      <c r="M153" s="18">
        <v>225.37</v>
      </c>
      <c r="N153" s="29">
        <v>1</v>
      </c>
      <c r="O153" s="16">
        <v>147</v>
      </c>
    </row>
    <row r="154" spans="10:15" ht="16" x14ac:dyDescent="0.45">
      <c r="J154" s="10" t="s">
        <v>83</v>
      </c>
      <c r="K154" s="11" t="s">
        <v>117</v>
      </c>
      <c r="L154" s="12">
        <v>689.43</v>
      </c>
      <c r="M154" s="12">
        <v>310.24</v>
      </c>
      <c r="N154" s="30">
        <v>1</v>
      </c>
      <c r="O154" s="10">
        <v>148</v>
      </c>
    </row>
    <row r="155" spans="10:15" ht="16" x14ac:dyDescent="0.45">
      <c r="J155" s="16" t="s">
        <v>59</v>
      </c>
      <c r="K155" s="17" t="s">
        <v>120</v>
      </c>
      <c r="L155" s="18">
        <v>688.83</v>
      </c>
      <c r="M155" s="18">
        <v>172.21</v>
      </c>
      <c r="N155" s="29">
        <v>1</v>
      </c>
      <c r="O155" s="16">
        <v>149</v>
      </c>
    </row>
    <row r="156" spans="10:15" ht="16" x14ac:dyDescent="0.45">
      <c r="J156" s="10" t="s">
        <v>94</v>
      </c>
      <c r="K156" s="11" t="s">
        <v>128</v>
      </c>
      <c r="L156" s="12">
        <v>682.24</v>
      </c>
      <c r="M156" s="12">
        <v>341.12</v>
      </c>
      <c r="N156" s="30">
        <v>1</v>
      </c>
      <c r="O156" s="10">
        <v>150</v>
      </c>
    </row>
    <row r="157" spans="10:15" ht="16" x14ac:dyDescent="0.45">
      <c r="J157" s="16" t="s">
        <v>70</v>
      </c>
      <c r="K157" s="17" t="s">
        <v>113</v>
      </c>
      <c r="L157" s="18">
        <v>675.54</v>
      </c>
      <c r="M157" s="18">
        <v>236.44</v>
      </c>
      <c r="N157" s="29">
        <v>1</v>
      </c>
      <c r="O157" s="16">
        <v>151</v>
      </c>
    </row>
    <row r="158" spans="10:15" ht="16" x14ac:dyDescent="0.45">
      <c r="J158" s="10" t="s">
        <v>137</v>
      </c>
      <c r="K158" s="11" t="s">
        <v>163</v>
      </c>
      <c r="L158" s="12">
        <v>662.61</v>
      </c>
      <c r="M158" s="12">
        <v>314.74</v>
      </c>
      <c r="N158" s="30">
        <v>1</v>
      </c>
      <c r="O158" s="10">
        <v>152</v>
      </c>
    </row>
    <row r="159" spans="10:15" ht="16" x14ac:dyDescent="0.45">
      <c r="J159" s="16" t="s">
        <v>151</v>
      </c>
      <c r="K159" s="17" t="s">
        <v>163</v>
      </c>
      <c r="L159" s="18">
        <v>661.09</v>
      </c>
      <c r="M159" s="18">
        <v>264.44</v>
      </c>
      <c r="N159" s="29">
        <v>1</v>
      </c>
      <c r="O159" s="16">
        <v>153</v>
      </c>
    </row>
    <row r="160" spans="10:15" ht="16" x14ac:dyDescent="0.45">
      <c r="J160" s="10" t="s">
        <v>186</v>
      </c>
      <c r="K160" s="11" t="s">
        <v>107</v>
      </c>
      <c r="L160" s="12">
        <v>640.64</v>
      </c>
      <c r="M160" s="12">
        <v>205</v>
      </c>
      <c r="N160" s="30">
        <v>1</v>
      </c>
      <c r="O160" s="10">
        <v>154</v>
      </c>
    </row>
    <row r="161" spans="10:15" ht="16" x14ac:dyDescent="0.45">
      <c r="J161" s="16" t="s">
        <v>70</v>
      </c>
      <c r="K161" s="17" t="s">
        <v>120</v>
      </c>
      <c r="L161" s="18">
        <v>608.66</v>
      </c>
      <c r="M161" s="18">
        <v>144.56</v>
      </c>
      <c r="N161" s="29">
        <v>1</v>
      </c>
      <c r="O161" s="16">
        <v>155</v>
      </c>
    </row>
    <row r="162" spans="10:15" ht="16" x14ac:dyDescent="0.45">
      <c r="J162" s="10" t="s">
        <v>70</v>
      </c>
      <c r="K162" s="11" t="s">
        <v>98</v>
      </c>
      <c r="L162" s="12">
        <v>585.16</v>
      </c>
      <c r="M162" s="12">
        <v>263.32</v>
      </c>
      <c r="N162" s="30">
        <v>1</v>
      </c>
      <c r="O162" s="10">
        <v>156</v>
      </c>
    </row>
    <row r="163" spans="10:15" ht="16" x14ac:dyDescent="0.45">
      <c r="J163" s="16" t="s">
        <v>129</v>
      </c>
      <c r="K163" s="17" t="s">
        <v>130</v>
      </c>
      <c r="L163" s="18">
        <v>580.42999999999995</v>
      </c>
      <c r="M163" s="18">
        <v>197.35</v>
      </c>
      <c r="N163" s="29">
        <v>1</v>
      </c>
      <c r="O163" s="16">
        <v>157</v>
      </c>
    </row>
    <row r="164" spans="10:15" ht="16" x14ac:dyDescent="0.45">
      <c r="J164" s="10" t="s">
        <v>94</v>
      </c>
      <c r="K164" s="11" t="s">
        <v>122</v>
      </c>
      <c r="L164" s="12">
        <v>556.41999999999996</v>
      </c>
      <c r="M164" s="12">
        <v>212.83</v>
      </c>
      <c r="N164" s="30">
        <v>1</v>
      </c>
      <c r="O164" s="10">
        <v>158</v>
      </c>
    </row>
    <row r="165" spans="10:15" ht="16" x14ac:dyDescent="0.45">
      <c r="J165" s="16" t="s">
        <v>126</v>
      </c>
      <c r="K165" s="17" t="s">
        <v>98</v>
      </c>
      <c r="L165" s="18">
        <v>545.44000000000005</v>
      </c>
      <c r="M165" s="18">
        <v>245.45</v>
      </c>
      <c r="N165" s="29">
        <v>1</v>
      </c>
      <c r="O165" s="16">
        <v>159</v>
      </c>
    </row>
    <row r="166" spans="10:15" ht="16" x14ac:dyDescent="0.45">
      <c r="J166" s="10" t="s">
        <v>165</v>
      </c>
      <c r="K166" s="11" t="s">
        <v>120</v>
      </c>
      <c r="L166" s="12">
        <v>539.77</v>
      </c>
      <c r="M166" s="12">
        <v>114.7</v>
      </c>
      <c r="N166" s="30">
        <v>1</v>
      </c>
      <c r="O166" s="10">
        <v>160</v>
      </c>
    </row>
    <row r="167" spans="10:15" ht="16" x14ac:dyDescent="0.45">
      <c r="J167" s="16" t="s">
        <v>95</v>
      </c>
      <c r="K167" s="17" t="s">
        <v>96</v>
      </c>
      <c r="L167" s="18">
        <v>521.66999999999996</v>
      </c>
      <c r="M167" s="18">
        <v>155.19999999999999</v>
      </c>
      <c r="N167" s="29">
        <v>1</v>
      </c>
      <c r="O167" s="16">
        <v>161</v>
      </c>
    </row>
    <row r="168" spans="10:15" ht="16" x14ac:dyDescent="0.45">
      <c r="J168" s="10" t="s">
        <v>171</v>
      </c>
      <c r="K168" s="11" t="s">
        <v>102</v>
      </c>
      <c r="L168" s="12">
        <v>518.07000000000005</v>
      </c>
      <c r="M168" s="12">
        <v>172.26</v>
      </c>
      <c r="N168" s="30">
        <v>1</v>
      </c>
      <c r="O168" s="10">
        <v>162</v>
      </c>
    </row>
    <row r="169" spans="10:15" ht="16" x14ac:dyDescent="0.45">
      <c r="J169" s="16" t="s">
        <v>126</v>
      </c>
      <c r="K169" s="17" t="s">
        <v>89</v>
      </c>
      <c r="L169" s="18">
        <v>511.74</v>
      </c>
      <c r="M169" s="18">
        <v>121.54</v>
      </c>
      <c r="N169" s="29">
        <v>1</v>
      </c>
      <c r="O169" s="16">
        <v>163</v>
      </c>
    </row>
    <row r="170" spans="10:15" ht="16" x14ac:dyDescent="0.45">
      <c r="J170" s="10" t="s">
        <v>83</v>
      </c>
      <c r="K170" s="11" t="s">
        <v>84</v>
      </c>
      <c r="L170" s="12">
        <v>501.54</v>
      </c>
      <c r="M170" s="12">
        <v>190.59</v>
      </c>
      <c r="N170" s="30">
        <v>1</v>
      </c>
      <c r="O170" s="10">
        <v>164</v>
      </c>
    </row>
    <row r="171" spans="10:15" ht="16" x14ac:dyDescent="0.45">
      <c r="J171" s="16" t="s">
        <v>116</v>
      </c>
      <c r="K171" s="17" t="s">
        <v>128</v>
      </c>
      <c r="L171" s="18">
        <v>499.18</v>
      </c>
      <c r="M171" s="18">
        <v>159.74</v>
      </c>
      <c r="N171" s="29">
        <v>1</v>
      </c>
      <c r="O171" s="16">
        <v>165</v>
      </c>
    </row>
    <row r="172" spans="10:15" ht="16" x14ac:dyDescent="0.45">
      <c r="J172" s="10" t="s">
        <v>86</v>
      </c>
      <c r="K172" s="11" t="s">
        <v>120</v>
      </c>
      <c r="L172" s="12">
        <v>488.99</v>
      </c>
      <c r="M172" s="12">
        <v>220.05</v>
      </c>
      <c r="N172" s="30">
        <v>1</v>
      </c>
      <c r="O172" s="10">
        <v>166</v>
      </c>
    </row>
    <row r="173" spans="10:15" ht="16" x14ac:dyDescent="0.45">
      <c r="J173" s="16" t="s">
        <v>59</v>
      </c>
      <c r="K173" s="17" t="s">
        <v>75</v>
      </c>
      <c r="L173" s="18">
        <v>472.38</v>
      </c>
      <c r="M173" s="18">
        <v>151.16</v>
      </c>
      <c r="N173" s="29">
        <v>1</v>
      </c>
      <c r="O173" s="16">
        <v>167</v>
      </c>
    </row>
    <row r="174" spans="10:15" ht="16" x14ac:dyDescent="0.45">
      <c r="J174" s="10" t="s">
        <v>95</v>
      </c>
      <c r="K174" s="11" t="s">
        <v>75</v>
      </c>
      <c r="L174" s="12">
        <v>458.54</v>
      </c>
      <c r="M174" s="12">
        <v>91.71</v>
      </c>
      <c r="N174" s="30">
        <v>1</v>
      </c>
      <c r="O174" s="10">
        <v>168</v>
      </c>
    </row>
    <row r="175" spans="10:15" ht="16" x14ac:dyDescent="0.45">
      <c r="J175" s="16" t="s">
        <v>109</v>
      </c>
      <c r="K175" s="17" t="s">
        <v>60</v>
      </c>
      <c r="L175" s="18">
        <v>388.56</v>
      </c>
      <c r="M175" s="18">
        <v>82.57</v>
      </c>
      <c r="N175" s="29">
        <v>1</v>
      </c>
      <c r="O175" s="16">
        <v>169</v>
      </c>
    </row>
    <row r="176" spans="10:15" ht="16" x14ac:dyDescent="0.45">
      <c r="J176" s="10" t="s">
        <v>109</v>
      </c>
      <c r="K176" s="11" t="s">
        <v>102</v>
      </c>
      <c r="L176" s="12">
        <v>388.23</v>
      </c>
      <c r="M176" s="12">
        <v>165.97</v>
      </c>
      <c r="N176" s="30">
        <v>1</v>
      </c>
      <c r="O176" s="10">
        <v>170</v>
      </c>
    </row>
    <row r="177" spans="10:15" ht="16" x14ac:dyDescent="0.45">
      <c r="J177" s="16" t="s">
        <v>78</v>
      </c>
      <c r="K177" s="17" t="s">
        <v>167</v>
      </c>
      <c r="L177" s="18">
        <v>336.66</v>
      </c>
      <c r="M177" s="18">
        <v>134.66</v>
      </c>
      <c r="N177" s="29">
        <v>1</v>
      </c>
      <c r="O177" s="16">
        <v>171</v>
      </c>
    </row>
  </sheetData>
  <autoFilter ref="J6:O177" xr:uid="{00000000-0001-0000-0200-000000000000}">
    <sortState xmlns:xlrd2="http://schemas.microsoft.com/office/spreadsheetml/2017/richdata2" ref="J7:O177">
      <sortCondition descending="1" ref="L6:L177"/>
    </sortState>
  </autoFilter>
  <conditionalFormatting sqref="B7:H16">
    <cfRule type="top10" dxfId="1" priority="1" rank="10"/>
  </conditionalFormatting>
  <conditionalFormatting sqref="L7:L177">
    <cfRule type="cellIs" dxfId="0" priority="2" stopIfTrue="1" operator="greaterThanOrEqual">
      <formula>LARGE($L$7:$L$177, 10)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6"/>
  <sheetViews>
    <sheetView topLeftCell="A4" workbookViewId="0">
      <selection activeCell="D9" sqref="D9"/>
    </sheetView>
  </sheetViews>
  <sheetFormatPr defaultRowHeight="14.5" x14ac:dyDescent="0.35"/>
  <cols>
    <col min="1" max="1" width="3" customWidth="1"/>
    <col min="2" max="2" width="59.36328125" customWidth="1"/>
    <col min="3" max="3" width="11.54296875" bestFit="1" customWidth="1"/>
    <col min="4" max="4" width="4" customWidth="1"/>
    <col min="5" max="5" width="62.90625" bestFit="1" customWidth="1"/>
    <col min="6" max="6" width="13" bestFit="1" customWidth="1"/>
    <col min="7" max="7" width="14" bestFit="1" customWidth="1"/>
    <col min="8" max="9" width="14.54296875" bestFit="1" customWidth="1"/>
    <col min="10" max="10" width="19.7265625" bestFit="1" customWidth="1"/>
    <col min="11" max="11" width="12.453125" bestFit="1" customWidth="1"/>
  </cols>
  <sheetData>
    <row r="2" spans="2:11" ht="47" customHeight="1" x14ac:dyDescent="0.6">
      <c r="B2" s="72" t="s">
        <v>284</v>
      </c>
      <c r="C2" s="72"/>
    </row>
    <row r="3" spans="2:11" ht="16" x14ac:dyDescent="0.45">
      <c r="B3" s="22" t="s">
        <v>285</v>
      </c>
    </row>
    <row r="5" spans="2:11" ht="16.5" x14ac:dyDescent="0.45">
      <c r="B5" s="23" t="s">
        <v>286</v>
      </c>
      <c r="E5" s="23" t="s">
        <v>287</v>
      </c>
    </row>
    <row r="6" spans="2:11" ht="24" customHeight="1" x14ac:dyDescent="0.35">
      <c r="E6" s="3" t="s">
        <v>288</v>
      </c>
      <c r="F6" s="3" t="s">
        <v>289</v>
      </c>
      <c r="G6" s="3" t="s">
        <v>290</v>
      </c>
      <c r="H6" s="3" t="s">
        <v>291</v>
      </c>
      <c r="I6" s="3" t="s">
        <v>292</v>
      </c>
      <c r="J6" s="3" t="s">
        <v>293</v>
      </c>
      <c r="K6" s="3" t="s">
        <v>294</v>
      </c>
    </row>
    <row r="7" spans="2:11" ht="21" customHeight="1" x14ac:dyDescent="0.45">
      <c r="B7" s="31" t="s">
        <v>295</v>
      </c>
      <c r="C7" s="32">
        <f>218027.19</f>
        <v>218027.19</v>
      </c>
      <c r="E7" s="17" t="s">
        <v>296</v>
      </c>
      <c r="F7" s="33">
        <v>0</v>
      </c>
      <c r="G7" s="18">
        <f t="shared" ref="G7:G16" si="0">$C$7*(1-F7)</f>
        <v>218027.19</v>
      </c>
      <c r="H7" s="18">
        <f t="shared" ref="H7:H16" si="1">$C$10</f>
        <v>126930.75</v>
      </c>
      <c r="I7" s="34">
        <f t="shared" ref="I7:I16" si="2">G7-H7</f>
        <v>91096.44</v>
      </c>
      <c r="J7" s="35">
        <f t="shared" ref="J7:J16" si="3">I7-$C$11</f>
        <v>21214.045587000001</v>
      </c>
      <c r="K7" s="33">
        <f t="shared" ref="K7:K16" si="4">I7/G7</f>
        <v>0.41782146529522307</v>
      </c>
    </row>
    <row r="8" spans="2:11" ht="21" customHeight="1" x14ac:dyDescent="0.45">
      <c r="B8" s="31" t="s">
        <v>297</v>
      </c>
      <c r="C8" s="36">
        <f>0.0973</f>
        <v>9.7299999999999998E-2</v>
      </c>
      <c r="E8" s="11" t="s">
        <v>298</v>
      </c>
      <c r="F8" s="36">
        <v>0.03</v>
      </c>
      <c r="G8" s="12">
        <f t="shared" si="0"/>
        <v>211486.3743</v>
      </c>
      <c r="H8" s="12">
        <f t="shared" si="1"/>
        <v>126930.75</v>
      </c>
      <c r="I8" s="32">
        <f t="shared" si="2"/>
        <v>84555.624299999996</v>
      </c>
      <c r="J8" s="37">
        <f t="shared" si="3"/>
        <v>14673.229886999994</v>
      </c>
      <c r="K8" s="36">
        <f t="shared" si="4"/>
        <v>0.39981594360332273</v>
      </c>
    </row>
    <row r="9" spans="2:11" ht="21" customHeight="1" x14ac:dyDescent="0.45">
      <c r="B9" s="31" t="s">
        <v>299</v>
      </c>
      <c r="C9" s="32">
        <f>C7*(1-C8)</f>
        <v>196813.144413</v>
      </c>
      <c r="E9" s="17" t="s">
        <v>300</v>
      </c>
      <c r="F9" s="33">
        <v>0.05</v>
      </c>
      <c r="G9" s="18">
        <f t="shared" si="0"/>
        <v>207125.83049999998</v>
      </c>
      <c r="H9" s="18">
        <f t="shared" si="1"/>
        <v>126930.75</v>
      </c>
      <c r="I9" s="34">
        <f t="shared" si="2"/>
        <v>80195.080499999982</v>
      </c>
      <c r="J9" s="35">
        <f t="shared" si="3"/>
        <v>10312.68608699998</v>
      </c>
      <c r="K9" s="33">
        <f t="shared" si="4"/>
        <v>0.38718048978444525</v>
      </c>
    </row>
    <row r="10" spans="2:11" ht="21" customHeight="1" x14ac:dyDescent="0.45">
      <c r="B10" s="31" t="s">
        <v>301</v>
      </c>
      <c r="C10" s="32">
        <f>126930.75</f>
        <v>126930.75</v>
      </c>
      <c r="E10" s="11" t="s">
        <v>302</v>
      </c>
      <c r="F10" s="36">
        <v>0.08</v>
      </c>
      <c r="G10" s="12">
        <f t="shared" si="0"/>
        <v>200585.0148</v>
      </c>
      <c r="H10" s="12">
        <f t="shared" si="1"/>
        <v>126930.75</v>
      </c>
      <c r="I10" s="32">
        <f t="shared" si="2"/>
        <v>73654.264800000004</v>
      </c>
      <c r="J10" s="37">
        <f t="shared" si="3"/>
        <v>3771.8703870000027</v>
      </c>
      <c r="K10" s="36">
        <f t="shared" si="4"/>
        <v>0.367197244886112</v>
      </c>
    </row>
    <row r="11" spans="2:11" ht="21" customHeight="1" x14ac:dyDescent="0.45">
      <c r="B11" s="31" t="s">
        <v>303</v>
      </c>
      <c r="C11" s="32">
        <f>C9-C10</f>
        <v>69882.394413000002</v>
      </c>
      <c r="E11" s="38" t="s">
        <v>304</v>
      </c>
      <c r="F11" s="39">
        <v>9.7299999999999998E-2</v>
      </c>
      <c r="G11" s="40">
        <f t="shared" si="0"/>
        <v>196813.144413</v>
      </c>
      <c r="H11" s="40">
        <f t="shared" si="1"/>
        <v>126930.75</v>
      </c>
      <c r="I11" s="41">
        <f t="shared" si="2"/>
        <v>69882.394413000002</v>
      </c>
      <c r="J11" s="42">
        <f t="shared" si="3"/>
        <v>0</v>
      </c>
      <c r="K11" s="39">
        <f t="shared" si="4"/>
        <v>0.35506975218258896</v>
      </c>
    </row>
    <row r="12" spans="2:11" ht="21" customHeight="1" x14ac:dyDescent="0.45">
      <c r="B12" s="31" t="s">
        <v>305</v>
      </c>
      <c r="C12" s="36">
        <f>C11/C9</f>
        <v>0.35506975218258896</v>
      </c>
      <c r="E12" s="11" t="s">
        <v>306</v>
      </c>
      <c r="F12" s="36">
        <v>0.12</v>
      </c>
      <c r="G12" s="12">
        <f t="shared" si="0"/>
        <v>191863.92720000001</v>
      </c>
      <c r="H12" s="12">
        <f t="shared" si="1"/>
        <v>126930.75</v>
      </c>
      <c r="I12" s="32">
        <f t="shared" si="2"/>
        <v>64933.177200000006</v>
      </c>
      <c r="J12" s="37">
        <f t="shared" si="3"/>
        <v>-4949.2172129999963</v>
      </c>
      <c r="K12" s="36">
        <f t="shared" si="4"/>
        <v>0.3384334832900262</v>
      </c>
    </row>
    <row r="13" spans="2:11" ht="21" customHeight="1" x14ac:dyDescent="0.45">
      <c r="E13" s="17" t="s">
        <v>307</v>
      </c>
      <c r="F13" s="33">
        <v>0.15</v>
      </c>
      <c r="G13" s="18">
        <f t="shared" si="0"/>
        <v>185323.1115</v>
      </c>
      <c r="H13" s="18">
        <f t="shared" si="1"/>
        <v>126930.75</v>
      </c>
      <c r="I13" s="34">
        <f t="shared" si="2"/>
        <v>58392.361499999999</v>
      </c>
      <c r="J13" s="35">
        <f t="shared" si="3"/>
        <v>-11490.032913000003</v>
      </c>
      <c r="K13" s="33">
        <f t="shared" si="4"/>
        <v>0.31508407681790945</v>
      </c>
    </row>
    <row r="14" spans="2:11" ht="21" customHeight="1" x14ac:dyDescent="0.45">
      <c r="E14" s="11" t="s">
        <v>308</v>
      </c>
      <c r="F14" s="36">
        <v>0.18</v>
      </c>
      <c r="G14" s="12">
        <f t="shared" si="0"/>
        <v>178782.29580000002</v>
      </c>
      <c r="H14" s="12">
        <f t="shared" si="1"/>
        <v>126930.75</v>
      </c>
      <c r="I14" s="32">
        <f t="shared" si="2"/>
        <v>51851.545800000022</v>
      </c>
      <c r="J14" s="37">
        <f t="shared" si="3"/>
        <v>-18030.84861299998</v>
      </c>
      <c r="K14" s="36">
        <f t="shared" si="4"/>
        <v>0.29002617718929646</v>
      </c>
    </row>
    <row r="15" spans="2:11" ht="21" customHeight="1" x14ac:dyDescent="0.45">
      <c r="E15" s="17" t="s">
        <v>309</v>
      </c>
      <c r="F15" s="33">
        <v>0.2</v>
      </c>
      <c r="G15" s="18">
        <f t="shared" si="0"/>
        <v>174421.75200000001</v>
      </c>
      <c r="H15" s="18">
        <f t="shared" si="1"/>
        <v>126930.75</v>
      </c>
      <c r="I15" s="34">
        <f t="shared" si="2"/>
        <v>47491.002000000008</v>
      </c>
      <c r="J15" s="35">
        <f t="shared" si="3"/>
        <v>-22391.392412999994</v>
      </c>
      <c r="K15" s="33">
        <f t="shared" si="4"/>
        <v>0.27227683161902883</v>
      </c>
    </row>
    <row r="16" spans="2:11" ht="21" customHeight="1" x14ac:dyDescent="0.45">
      <c r="E16" s="11" t="s">
        <v>310</v>
      </c>
      <c r="F16" s="36">
        <v>0.25</v>
      </c>
      <c r="G16" s="12">
        <f t="shared" si="0"/>
        <v>163520.39250000002</v>
      </c>
      <c r="H16" s="12">
        <f t="shared" si="1"/>
        <v>126930.75</v>
      </c>
      <c r="I16" s="32">
        <f t="shared" si="2"/>
        <v>36589.642500000016</v>
      </c>
      <c r="J16" s="37">
        <f t="shared" si="3"/>
        <v>-33292.751912999986</v>
      </c>
      <c r="K16" s="36">
        <f t="shared" si="4"/>
        <v>0.22376195372696414</v>
      </c>
    </row>
  </sheetData>
  <mergeCells count="1"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5"/>
  <sheetViews>
    <sheetView topLeftCell="A16" workbookViewId="0"/>
  </sheetViews>
  <sheetFormatPr defaultRowHeight="14.5" x14ac:dyDescent="0.35"/>
  <cols>
    <col min="1" max="1" width="3" customWidth="1"/>
    <col min="2" max="2" width="24" customWidth="1"/>
    <col min="3" max="8" width="16" customWidth="1"/>
  </cols>
  <sheetData>
    <row r="2" spans="2:7" ht="22.5" x14ac:dyDescent="0.6">
      <c r="B2" s="1" t="s">
        <v>311</v>
      </c>
    </row>
    <row r="3" spans="2:7" ht="16" x14ac:dyDescent="0.45">
      <c r="B3" s="22" t="s">
        <v>312</v>
      </c>
    </row>
    <row r="5" spans="2:7" ht="16.5" x14ac:dyDescent="0.45">
      <c r="B5" s="23" t="s">
        <v>313</v>
      </c>
    </row>
    <row r="6" spans="2:7" ht="16" x14ac:dyDescent="0.45">
      <c r="B6" s="43" t="s">
        <v>314</v>
      </c>
      <c r="C6" s="44" t="s">
        <v>315</v>
      </c>
    </row>
    <row r="7" spans="2:7" ht="20" customHeight="1" x14ac:dyDescent="0.45">
      <c r="B7" s="45" t="s">
        <v>316</v>
      </c>
      <c r="C7" s="46">
        <v>0.77340306414342652</v>
      </c>
    </row>
    <row r="8" spans="2:7" ht="20" customHeight="1" x14ac:dyDescent="0.45">
      <c r="B8" s="45" t="s">
        <v>317</v>
      </c>
      <c r="C8" s="46">
        <v>0.59815229962644112</v>
      </c>
    </row>
    <row r="9" spans="2:7" ht="20" customHeight="1" x14ac:dyDescent="0.45">
      <c r="B9" s="45" t="s">
        <v>318</v>
      </c>
      <c r="C9" s="46">
        <v>0.59612276578617063</v>
      </c>
    </row>
    <row r="10" spans="2:7" ht="20" customHeight="1" x14ac:dyDescent="0.45">
      <c r="B10" s="45" t="s">
        <v>319</v>
      </c>
      <c r="C10" s="47">
        <v>86.281230625564262</v>
      </c>
    </row>
    <row r="11" spans="2:7" ht="20" customHeight="1" x14ac:dyDescent="0.45">
      <c r="B11" s="45" t="s">
        <v>320</v>
      </c>
      <c r="C11" s="48">
        <v>200</v>
      </c>
    </row>
    <row r="13" spans="2:7" ht="16.5" x14ac:dyDescent="0.45">
      <c r="B13" s="23" t="s">
        <v>321</v>
      </c>
    </row>
    <row r="14" spans="2:7" ht="16" x14ac:dyDescent="0.45">
      <c r="B14" s="49"/>
      <c r="C14" s="50" t="s">
        <v>322</v>
      </c>
      <c r="D14" s="50" t="s">
        <v>323</v>
      </c>
      <c r="E14" s="50" t="s">
        <v>324</v>
      </c>
      <c r="F14" s="50" t="s">
        <v>325</v>
      </c>
      <c r="G14" s="50" t="s">
        <v>326</v>
      </c>
    </row>
    <row r="15" spans="2:7" ht="20" customHeight="1" x14ac:dyDescent="0.45">
      <c r="B15" s="51" t="s">
        <v>327</v>
      </c>
      <c r="C15" s="30">
        <v>1</v>
      </c>
      <c r="D15" s="52">
        <v>2194058.183340285</v>
      </c>
      <c r="E15" s="52">
        <v>2194058.183340285</v>
      </c>
      <c r="F15" s="52">
        <v>294.723984275482</v>
      </c>
      <c r="G15" s="53">
        <v>4.6300000000000001E-41</v>
      </c>
    </row>
    <row r="16" spans="2:7" ht="20" customHeight="1" x14ac:dyDescent="0.45">
      <c r="B16" s="51" t="s">
        <v>328</v>
      </c>
      <c r="C16" s="30">
        <v>198</v>
      </c>
      <c r="D16" s="52">
        <v>1474001.2468592159</v>
      </c>
      <c r="E16" s="52">
        <v>7444.4507417132108</v>
      </c>
      <c r="F16" s="45"/>
      <c r="G16" s="45"/>
    </row>
    <row r="17" spans="2:8" ht="20" customHeight="1" x14ac:dyDescent="0.45">
      <c r="B17" s="51" t="s">
        <v>329</v>
      </c>
      <c r="C17" s="30">
        <v>199</v>
      </c>
      <c r="D17" s="52">
        <v>3668059.4301995002</v>
      </c>
      <c r="E17" s="45"/>
      <c r="F17" s="45"/>
      <c r="G17" s="45"/>
    </row>
    <row r="19" spans="2:8" ht="16.5" x14ac:dyDescent="0.45">
      <c r="B19" s="23" t="s">
        <v>330</v>
      </c>
    </row>
    <row r="20" spans="2:8" ht="16" x14ac:dyDescent="0.45">
      <c r="B20" s="49"/>
      <c r="C20" s="50" t="s">
        <v>331</v>
      </c>
      <c r="D20" s="50" t="s">
        <v>319</v>
      </c>
      <c r="E20" s="50" t="s">
        <v>332</v>
      </c>
      <c r="F20" s="50" t="s">
        <v>333</v>
      </c>
      <c r="G20" s="50" t="s">
        <v>334</v>
      </c>
      <c r="H20" s="50" t="s">
        <v>335</v>
      </c>
    </row>
    <row r="21" spans="2:8" ht="20" customHeight="1" x14ac:dyDescent="0.45">
      <c r="B21" s="51" t="s">
        <v>336</v>
      </c>
      <c r="C21" s="54">
        <v>-1.0315799999999999</v>
      </c>
      <c r="D21" s="54">
        <v>20.860900000000001</v>
      </c>
      <c r="E21" s="54">
        <v>-4.9450000000000001E-2</v>
      </c>
      <c r="F21" s="54">
        <v>0.96060000000000001</v>
      </c>
      <c r="G21" s="54">
        <v>-42.168999999999997</v>
      </c>
      <c r="H21" s="54">
        <v>40.106000000000002</v>
      </c>
    </row>
    <row r="22" spans="2:8" ht="20" customHeight="1" x14ac:dyDescent="0.45">
      <c r="B22" s="51" t="s">
        <v>337</v>
      </c>
      <c r="C22" s="54">
        <v>0.35086000000000001</v>
      </c>
      <c r="D22" s="54">
        <v>2.044E-2</v>
      </c>
      <c r="E22" s="54">
        <v>17.168299999999999</v>
      </c>
      <c r="F22" s="53">
        <v>4.6300000000000001E-41</v>
      </c>
      <c r="G22" s="54">
        <v>0.3105</v>
      </c>
      <c r="H22" s="54">
        <v>0.39119999999999999</v>
      </c>
    </row>
    <row r="24" spans="2:8" ht="16.5" x14ac:dyDescent="0.45">
      <c r="B24" s="23" t="s">
        <v>338</v>
      </c>
    </row>
    <row r="25" spans="2:8" ht="16" x14ac:dyDescent="0.45">
      <c r="B25" s="55" t="s">
        <v>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8"/>
  <sheetViews>
    <sheetView workbookViewId="0"/>
  </sheetViews>
  <sheetFormatPr defaultRowHeight="14.5" x14ac:dyDescent="0.35"/>
  <cols>
    <col min="1" max="1" width="3" customWidth="1"/>
    <col min="2" max="2" width="24" customWidth="1"/>
    <col min="3" max="4" width="18" customWidth="1"/>
    <col min="5" max="5" width="16" customWidth="1"/>
    <col min="6" max="6" width="18" customWidth="1"/>
  </cols>
  <sheetData>
    <row r="2" spans="2:6" ht="22.5" x14ac:dyDescent="0.6">
      <c r="B2" s="1" t="s">
        <v>340</v>
      </c>
    </row>
    <row r="3" spans="2:6" ht="16" x14ac:dyDescent="0.45">
      <c r="B3" s="22" t="s">
        <v>341</v>
      </c>
    </row>
    <row r="5" spans="2:6" ht="24" customHeight="1" x14ac:dyDescent="0.35">
      <c r="B5" s="56" t="s">
        <v>342</v>
      </c>
      <c r="C5" s="3" t="s">
        <v>343</v>
      </c>
      <c r="D5" s="3" t="s">
        <v>344</v>
      </c>
      <c r="E5" s="3" t="s">
        <v>49</v>
      </c>
      <c r="F5" s="3" t="s">
        <v>345</v>
      </c>
    </row>
    <row r="6" spans="2:6" ht="20" customHeight="1" x14ac:dyDescent="0.45">
      <c r="B6" s="51" t="s">
        <v>346</v>
      </c>
      <c r="C6" s="52">
        <v>976.08879999999999</v>
      </c>
      <c r="D6" s="52">
        <v>341.43504999999999</v>
      </c>
      <c r="E6" s="52">
        <v>9.9949999999999992</v>
      </c>
      <c r="F6" s="57">
        <v>9.7250000000000017E-2</v>
      </c>
    </row>
    <row r="7" spans="2:6" ht="20" customHeight="1" x14ac:dyDescent="0.45">
      <c r="B7" s="31" t="s">
        <v>319</v>
      </c>
      <c r="C7" s="58">
        <v>21.161850448978331</v>
      </c>
      <c r="D7" s="58">
        <v>9.6001196472332282</v>
      </c>
      <c r="E7" s="58">
        <v>0.39927682743257598</v>
      </c>
      <c r="F7" s="59">
        <v>5.1142413732752773E-3</v>
      </c>
    </row>
    <row r="8" spans="2:6" ht="20" customHeight="1" x14ac:dyDescent="0.45">
      <c r="B8" s="51" t="s">
        <v>347</v>
      </c>
      <c r="C8" s="52">
        <v>976.72</v>
      </c>
      <c r="D8" s="52">
        <v>332.255</v>
      </c>
      <c r="E8" s="52">
        <v>10</v>
      </c>
      <c r="F8" s="57">
        <v>0.1</v>
      </c>
    </row>
    <row r="9" spans="2:6" ht="20" customHeight="1" x14ac:dyDescent="0.45">
      <c r="B9" s="31" t="s">
        <v>348</v>
      </c>
      <c r="C9" s="58">
        <v>258.51</v>
      </c>
      <c r="D9" s="58">
        <v>64.63</v>
      </c>
      <c r="E9" s="58">
        <v>8</v>
      </c>
      <c r="F9" s="59">
        <v>0</v>
      </c>
    </row>
    <row r="10" spans="2:6" ht="20" customHeight="1" x14ac:dyDescent="0.45">
      <c r="B10" s="51" t="s">
        <v>349</v>
      </c>
      <c r="C10" s="52">
        <v>299.27375909856329</v>
      </c>
      <c r="D10" s="52">
        <v>135.76619405521649</v>
      </c>
      <c r="E10" s="52">
        <v>5.6466270449645091</v>
      </c>
      <c r="F10" s="57">
        <v>7.2326295113355005E-2</v>
      </c>
    </row>
    <row r="11" spans="2:6" ht="20" customHeight="1" x14ac:dyDescent="0.45">
      <c r="B11" s="31" t="s">
        <v>350</v>
      </c>
      <c r="C11" s="58">
        <v>89564.782884984932</v>
      </c>
      <c r="D11" s="58">
        <v>18432.459448238689</v>
      </c>
      <c r="E11" s="58">
        <v>31.884396984924621</v>
      </c>
      <c r="F11" s="60">
        <v>5.2310929648241196E-3</v>
      </c>
    </row>
    <row r="12" spans="2:6" ht="20" customHeight="1" x14ac:dyDescent="0.45">
      <c r="B12" s="51" t="s">
        <v>351</v>
      </c>
      <c r="C12" s="52">
        <v>-8.8595231919745832E-2</v>
      </c>
      <c r="D12" s="52">
        <v>0.26450643813582569</v>
      </c>
      <c r="E12" s="52">
        <v>-1.2091053826620739</v>
      </c>
      <c r="F12" s="54">
        <v>-1.325701241585584</v>
      </c>
    </row>
    <row r="13" spans="2:6" ht="20" customHeight="1" x14ac:dyDescent="0.45">
      <c r="B13" s="31" t="s">
        <v>352</v>
      </c>
      <c r="C13" s="58">
        <v>0.14685796564193221</v>
      </c>
      <c r="D13" s="58">
        <v>0.57339636063424693</v>
      </c>
      <c r="E13" s="58">
        <v>6.0845864320778237E-2</v>
      </c>
      <c r="F13" s="60">
        <v>9.6827385576684064E-2</v>
      </c>
    </row>
    <row r="14" spans="2:6" ht="20" customHeight="1" x14ac:dyDescent="0.45">
      <c r="B14" s="51" t="s">
        <v>353</v>
      </c>
      <c r="C14" s="52">
        <v>1665.15</v>
      </c>
      <c r="D14" s="52">
        <v>704.83</v>
      </c>
      <c r="E14" s="52">
        <v>18</v>
      </c>
      <c r="F14" s="57">
        <v>0.2</v>
      </c>
    </row>
    <row r="15" spans="2:6" ht="20" customHeight="1" x14ac:dyDescent="0.45">
      <c r="B15" s="31" t="s">
        <v>354</v>
      </c>
      <c r="C15" s="58">
        <v>258.51</v>
      </c>
      <c r="D15" s="58">
        <v>64.63</v>
      </c>
      <c r="E15" s="58">
        <v>1</v>
      </c>
      <c r="F15" s="59">
        <v>0</v>
      </c>
    </row>
    <row r="16" spans="2:6" ht="20" customHeight="1" x14ac:dyDescent="0.45">
      <c r="B16" s="51" t="s">
        <v>355</v>
      </c>
      <c r="C16" s="52">
        <v>1923.66</v>
      </c>
      <c r="D16" s="52">
        <v>769.46</v>
      </c>
      <c r="E16" s="52">
        <v>19</v>
      </c>
      <c r="F16" s="57">
        <v>0.2</v>
      </c>
    </row>
    <row r="17" spans="2:6" ht="20" customHeight="1" x14ac:dyDescent="0.45">
      <c r="B17" s="31" t="s">
        <v>356</v>
      </c>
      <c r="C17" s="58">
        <v>195217.76</v>
      </c>
      <c r="D17" s="58">
        <v>68287.010000000009</v>
      </c>
      <c r="E17" s="58">
        <v>1999</v>
      </c>
      <c r="F17" s="60">
        <v>19.45</v>
      </c>
    </row>
    <row r="18" spans="2:6" ht="20" customHeight="1" x14ac:dyDescent="0.45">
      <c r="B18" s="51" t="s">
        <v>357</v>
      </c>
      <c r="C18" s="13">
        <v>200</v>
      </c>
      <c r="D18" s="13">
        <v>200</v>
      </c>
      <c r="E18" s="13">
        <v>200</v>
      </c>
      <c r="F18" s="54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9"/>
  <sheetViews>
    <sheetView workbookViewId="0"/>
  </sheetViews>
  <sheetFormatPr defaultRowHeight="14.5" x14ac:dyDescent="0.35"/>
  <cols>
    <col min="1" max="1" width="3" customWidth="1"/>
    <col min="2" max="2" width="16" customWidth="1"/>
    <col min="3" max="4" width="18" customWidth="1"/>
    <col min="5" max="5" width="16" customWidth="1"/>
    <col min="6" max="7" width="28" customWidth="1"/>
  </cols>
  <sheetData>
    <row r="2" spans="2:7" ht="22.5" x14ac:dyDescent="0.6">
      <c r="B2" s="1" t="s">
        <v>358</v>
      </c>
    </row>
    <row r="3" spans="2:7" ht="16" x14ac:dyDescent="0.45">
      <c r="B3" s="22" t="s">
        <v>359</v>
      </c>
    </row>
    <row r="5" spans="2:7" ht="24" customHeight="1" x14ac:dyDescent="0.35">
      <c r="B5" s="3" t="s">
        <v>360</v>
      </c>
      <c r="C5" s="3" t="s">
        <v>361</v>
      </c>
      <c r="D5" s="3" t="s">
        <v>277</v>
      </c>
      <c r="E5" s="3" t="s">
        <v>362</v>
      </c>
      <c r="F5" s="3" t="s">
        <v>363</v>
      </c>
      <c r="G5" s="3" t="s">
        <v>364</v>
      </c>
    </row>
    <row r="6" spans="2:7" ht="21" customHeight="1" x14ac:dyDescent="0.45">
      <c r="B6" s="61" t="s">
        <v>365</v>
      </c>
      <c r="C6" s="12">
        <v>19029.96</v>
      </c>
      <c r="D6" s="12">
        <v>6244.01</v>
      </c>
      <c r="E6" s="13">
        <v>19</v>
      </c>
      <c r="F6" s="62">
        <v>0</v>
      </c>
      <c r="G6" s="62">
        <v>0</v>
      </c>
    </row>
    <row r="7" spans="2:7" ht="21" customHeight="1" x14ac:dyDescent="0.45">
      <c r="B7" s="63" t="s">
        <v>366</v>
      </c>
      <c r="C7" s="18">
        <v>18507.34</v>
      </c>
      <c r="D7" s="18">
        <v>6121.35</v>
      </c>
      <c r="E7" s="19">
        <v>21</v>
      </c>
      <c r="F7" s="64">
        <f t="shared" ref="F7:F18" si="0">(C7-C6)/C6</f>
        <v>-2.7463010957458608E-2</v>
      </c>
      <c r="G7" s="64">
        <f t="shared" ref="G7:G18" si="1">(D7-D6)/D6</f>
        <v>-1.964442721904671E-2</v>
      </c>
    </row>
    <row r="8" spans="2:7" ht="21" customHeight="1" x14ac:dyDescent="0.45">
      <c r="B8" s="61" t="s">
        <v>367</v>
      </c>
      <c r="C8" s="12">
        <v>20187.509999999998</v>
      </c>
      <c r="D8" s="12">
        <v>6918</v>
      </c>
      <c r="E8" s="13">
        <v>20</v>
      </c>
      <c r="F8" s="62">
        <f t="shared" si="0"/>
        <v>9.0783980842195494E-2</v>
      </c>
      <c r="G8" s="62">
        <f t="shared" si="1"/>
        <v>0.13014286064348543</v>
      </c>
    </row>
    <row r="9" spans="2:7" ht="21" customHeight="1" x14ac:dyDescent="0.45">
      <c r="B9" s="63" t="s">
        <v>368</v>
      </c>
      <c r="C9" s="18">
        <v>11609.04</v>
      </c>
      <c r="D9" s="18">
        <v>3743.85</v>
      </c>
      <c r="E9" s="19">
        <v>12</v>
      </c>
      <c r="F9" s="64">
        <f t="shared" si="0"/>
        <v>-0.42493947990613989</v>
      </c>
      <c r="G9" s="64">
        <f t="shared" si="1"/>
        <v>-0.45882480485689509</v>
      </c>
    </row>
    <row r="10" spans="2:7" ht="21" customHeight="1" x14ac:dyDescent="0.45">
      <c r="B10" s="61" t="s">
        <v>369</v>
      </c>
      <c r="C10" s="12">
        <v>10091.700000000001</v>
      </c>
      <c r="D10" s="12">
        <v>3302.84</v>
      </c>
      <c r="E10" s="13">
        <v>10</v>
      </c>
      <c r="F10" s="62">
        <f t="shared" si="0"/>
        <v>-0.13070331396911372</v>
      </c>
      <c r="G10" s="62">
        <f t="shared" si="1"/>
        <v>-0.11779585186372311</v>
      </c>
    </row>
    <row r="11" spans="2:7" ht="21" customHeight="1" x14ac:dyDescent="0.45">
      <c r="B11" s="63" t="s">
        <v>370</v>
      </c>
      <c r="C11" s="18">
        <v>20533.5</v>
      </c>
      <c r="D11" s="18">
        <v>7457.52</v>
      </c>
      <c r="E11" s="19">
        <v>20</v>
      </c>
      <c r="F11" s="64">
        <f t="shared" si="0"/>
        <v>1.0346918755016496</v>
      </c>
      <c r="G11" s="64">
        <f t="shared" si="1"/>
        <v>1.2579113732424216</v>
      </c>
    </row>
    <row r="12" spans="2:7" ht="21" customHeight="1" x14ac:dyDescent="0.45">
      <c r="B12" s="61" t="s">
        <v>371</v>
      </c>
      <c r="C12" s="12">
        <v>14215.24</v>
      </c>
      <c r="D12" s="12">
        <v>4861.7</v>
      </c>
      <c r="E12" s="13">
        <v>14</v>
      </c>
      <c r="F12" s="62">
        <f t="shared" si="0"/>
        <v>-0.30770496992719215</v>
      </c>
      <c r="G12" s="62">
        <f t="shared" si="1"/>
        <v>-0.3480808633433099</v>
      </c>
    </row>
    <row r="13" spans="2:7" ht="21" customHeight="1" x14ac:dyDescent="0.45">
      <c r="B13" s="63" t="s">
        <v>372</v>
      </c>
      <c r="C13" s="18">
        <v>20135.03</v>
      </c>
      <c r="D13" s="18">
        <v>6814.88</v>
      </c>
      <c r="E13" s="19">
        <v>20</v>
      </c>
      <c r="F13" s="64">
        <f t="shared" si="0"/>
        <v>0.41643968023051309</v>
      </c>
      <c r="G13" s="64">
        <f t="shared" si="1"/>
        <v>0.40174835962729094</v>
      </c>
    </row>
    <row r="14" spans="2:7" ht="21" customHeight="1" x14ac:dyDescent="0.45">
      <c r="B14" s="61" t="s">
        <v>373</v>
      </c>
      <c r="C14" s="12">
        <v>11120.04</v>
      </c>
      <c r="D14" s="12">
        <v>3549.99</v>
      </c>
      <c r="E14" s="13">
        <v>11</v>
      </c>
      <c r="F14" s="62">
        <f t="shared" si="0"/>
        <v>-0.44772667336477762</v>
      </c>
      <c r="G14" s="62">
        <f t="shared" si="1"/>
        <v>-0.47908253703660231</v>
      </c>
    </row>
    <row r="15" spans="2:7" ht="21" customHeight="1" x14ac:dyDescent="0.45">
      <c r="B15" s="63" t="s">
        <v>374</v>
      </c>
      <c r="C15" s="18">
        <v>14914.65</v>
      </c>
      <c r="D15" s="18">
        <v>5763.4</v>
      </c>
      <c r="E15" s="19">
        <v>16</v>
      </c>
      <c r="F15" s="64">
        <f t="shared" si="0"/>
        <v>0.3412406789903632</v>
      </c>
      <c r="G15" s="64">
        <f t="shared" si="1"/>
        <v>0.62349753097896055</v>
      </c>
    </row>
    <row r="16" spans="2:7" ht="21" customHeight="1" x14ac:dyDescent="0.45">
      <c r="B16" s="61" t="s">
        <v>375</v>
      </c>
      <c r="C16" s="12">
        <v>14006.36</v>
      </c>
      <c r="D16" s="12">
        <v>5039.2299999999996</v>
      </c>
      <c r="E16" s="13">
        <v>14</v>
      </c>
      <c r="F16" s="62">
        <f t="shared" si="0"/>
        <v>-6.0899183018039246E-2</v>
      </c>
      <c r="G16" s="62">
        <f t="shared" si="1"/>
        <v>-0.12564979005448176</v>
      </c>
    </row>
    <row r="17" spans="2:7" ht="21" customHeight="1" x14ac:dyDescent="0.45">
      <c r="B17" s="63" t="s">
        <v>376</v>
      </c>
      <c r="C17" s="18">
        <v>17655.22</v>
      </c>
      <c r="D17" s="18">
        <v>7071.39</v>
      </c>
      <c r="E17" s="19">
        <v>19</v>
      </c>
      <c r="F17" s="64">
        <f t="shared" si="0"/>
        <v>0.26051450912299845</v>
      </c>
      <c r="G17" s="64">
        <f t="shared" si="1"/>
        <v>0.40326795958906436</v>
      </c>
    </row>
    <row r="18" spans="2:7" ht="21" customHeight="1" x14ac:dyDescent="0.45">
      <c r="B18" s="61" t="s">
        <v>377</v>
      </c>
      <c r="C18" s="12">
        <v>3212.17</v>
      </c>
      <c r="D18" s="12">
        <v>1398.85</v>
      </c>
      <c r="E18" s="13">
        <v>4</v>
      </c>
      <c r="F18" s="62">
        <f t="shared" si="0"/>
        <v>-0.81806117397574207</v>
      </c>
      <c r="G18" s="62">
        <f t="shared" si="1"/>
        <v>-0.80218174927418806</v>
      </c>
    </row>
    <row r="19" spans="2:7" ht="22" customHeight="1" x14ac:dyDescent="0.45">
      <c r="B19" s="65" t="s">
        <v>378</v>
      </c>
      <c r="C19" s="66">
        <f>SUM(C6:C18)</f>
        <v>195217.76</v>
      </c>
      <c r="D19" s="66">
        <f>SUM(D6:D18)</f>
        <v>68287.009999999995</v>
      </c>
      <c r="E19" s="67">
        <f>SUM(E6:E18)</f>
        <v>200</v>
      </c>
      <c r="F19" s="68" t="s">
        <v>379</v>
      </c>
      <c r="G19" s="68" t="s">
        <v>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12"/>
  <sheetViews>
    <sheetView workbookViewId="0">
      <selection activeCell="F6" sqref="F6"/>
    </sheetView>
  </sheetViews>
  <sheetFormatPr defaultRowHeight="14.5" x14ac:dyDescent="0.35"/>
  <cols>
    <col min="1" max="1" width="3" customWidth="1"/>
    <col min="2" max="2" width="24" customWidth="1"/>
    <col min="3" max="8" width="18" customWidth="1"/>
  </cols>
  <sheetData>
    <row r="2" spans="2:8" ht="22.5" x14ac:dyDescent="0.6">
      <c r="B2" s="1" t="s">
        <v>380</v>
      </c>
    </row>
    <row r="3" spans="2:8" ht="16" x14ac:dyDescent="0.45">
      <c r="B3" s="22" t="s">
        <v>381</v>
      </c>
    </row>
    <row r="5" spans="2:8" ht="24" customHeight="1" x14ac:dyDescent="0.35">
      <c r="B5" s="3" t="s">
        <v>395</v>
      </c>
      <c r="C5" s="3" t="s">
        <v>394</v>
      </c>
      <c r="D5" s="3"/>
      <c r="E5" s="3"/>
      <c r="F5" s="3"/>
      <c r="G5" s="3"/>
      <c r="H5" s="3"/>
    </row>
    <row r="6" spans="2:8" ht="21" customHeight="1" x14ac:dyDescent="0.45">
      <c r="B6" s="61" t="s">
        <v>393</v>
      </c>
      <c r="C6" s="12" t="s">
        <v>57</v>
      </c>
      <c r="D6" s="12" t="s">
        <v>61</v>
      </c>
      <c r="E6" s="12" t="s">
        <v>69</v>
      </c>
      <c r="F6" s="12" t="s">
        <v>76</v>
      </c>
      <c r="G6" s="12" t="s">
        <v>90</v>
      </c>
      <c r="H6" s="32" t="s">
        <v>382</v>
      </c>
    </row>
    <row r="7" spans="2:8" ht="21" customHeight="1" x14ac:dyDescent="0.45">
      <c r="B7" s="63" t="s">
        <v>85</v>
      </c>
      <c r="C7" s="18">
        <v>11297.150000000001</v>
      </c>
      <c r="D7" s="18">
        <v>12200.26</v>
      </c>
      <c r="E7" s="18">
        <v>6621.24</v>
      </c>
      <c r="F7" s="18">
        <v>4876.96</v>
      </c>
      <c r="G7" s="18">
        <v>8472.7199999999993</v>
      </c>
      <c r="H7" s="34">
        <v>43468.33</v>
      </c>
    </row>
    <row r="8" spans="2:8" ht="21" customHeight="1" x14ac:dyDescent="0.45">
      <c r="B8" s="61" t="s">
        <v>65</v>
      </c>
      <c r="C8" s="12">
        <v>11389.090000000002</v>
      </c>
      <c r="D8" s="12">
        <v>2401.4499999999998</v>
      </c>
      <c r="E8" s="12">
        <v>2869.54</v>
      </c>
      <c r="F8" s="12">
        <v>7592.3399999999992</v>
      </c>
      <c r="G8" s="12">
        <v>8189.2200000000012</v>
      </c>
      <c r="H8" s="32">
        <v>32441.640000000003</v>
      </c>
    </row>
    <row r="9" spans="2:8" ht="21" customHeight="1" x14ac:dyDescent="0.45">
      <c r="B9" s="63" t="s">
        <v>72</v>
      </c>
      <c r="C9" s="18">
        <v>8037.0100000000011</v>
      </c>
      <c r="D9" s="18">
        <v>8422.82</v>
      </c>
      <c r="E9" s="18">
        <v>8191.7099999999991</v>
      </c>
      <c r="F9" s="18">
        <v>6978.08</v>
      </c>
      <c r="G9" s="18">
        <v>3345.8</v>
      </c>
      <c r="H9" s="34">
        <v>34975.420000000006</v>
      </c>
    </row>
    <row r="10" spans="2:8" ht="21" customHeight="1" x14ac:dyDescent="0.45">
      <c r="B10" s="61" t="s">
        <v>68</v>
      </c>
      <c r="C10" s="12">
        <v>9588.0400000000009</v>
      </c>
      <c r="D10" s="12">
        <v>8393.630000000001</v>
      </c>
      <c r="E10" s="12">
        <v>11989.070000000003</v>
      </c>
      <c r="F10" s="12">
        <v>7982.73</v>
      </c>
      <c r="G10" s="12">
        <v>2295.3199999999997</v>
      </c>
      <c r="H10" s="32">
        <v>40248.79</v>
      </c>
    </row>
    <row r="11" spans="2:8" ht="22" customHeight="1" thickBot="1" x14ac:dyDescent="0.5">
      <c r="B11" s="65" t="s">
        <v>56</v>
      </c>
      <c r="C11" s="66">
        <v>6691.17</v>
      </c>
      <c r="D11" s="66">
        <v>10509.429999999998</v>
      </c>
      <c r="E11" s="66">
        <v>11372.44</v>
      </c>
      <c r="F11" s="66">
        <v>9182.7800000000007</v>
      </c>
      <c r="G11" s="66">
        <v>6327.76</v>
      </c>
      <c r="H11" s="66">
        <v>44083.58</v>
      </c>
    </row>
    <row r="12" spans="2:8" ht="16.5" thickTop="1" x14ac:dyDescent="0.35">
      <c r="B12" s="3" t="s">
        <v>382</v>
      </c>
      <c r="C12" s="71">
        <v>47002.460000000006</v>
      </c>
      <c r="D12" s="71">
        <v>41927.589999999997</v>
      </c>
      <c r="E12" s="71">
        <v>41044</v>
      </c>
      <c r="F12" s="71">
        <v>36612.89</v>
      </c>
      <c r="G12" s="71">
        <v>28630.82</v>
      </c>
      <c r="H12" s="71">
        <v>195217.76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V14"/>
  <sheetViews>
    <sheetView tabSelected="1" topLeftCell="A3" zoomScaleNormal="100" workbookViewId="0">
      <selection activeCell="J6" sqref="J6:K7"/>
    </sheetView>
  </sheetViews>
  <sheetFormatPr defaultRowHeight="14.5" x14ac:dyDescent="0.35"/>
  <cols>
    <col min="1" max="1" width="3" customWidth="1"/>
    <col min="2" max="11" width="12" customWidth="1"/>
    <col min="12" max="12" width="4" customWidth="1"/>
    <col min="13" max="13" width="14" customWidth="1"/>
    <col min="14" max="14" width="16" customWidth="1"/>
    <col min="15" max="15" width="4" customWidth="1"/>
    <col min="16" max="16" width="18" customWidth="1"/>
    <col min="17" max="17" width="52.453125" customWidth="1"/>
    <col min="18" max="18" width="10.1796875" bestFit="1" customWidth="1"/>
    <col min="22" max="22" width="9.54296875" bestFit="1" customWidth="1"/>
  </cols>
  <sheetData>
    <row r="2" spans="2:22" ht="22.5" x14ac:dyDescent="0.6">
      <c r="B2" s="1" t="s">
        <v>383</v>
      </c>
    </row>
    <row r="3" spans="2:22" ht="16" x14ac:dyDescent="0.45">
      <c r="B3" s="22" t="s">
        <v>384</v>
      </c>
    </row>
    <row r="5" spans="2:22" ht="18" customHeight="1" x14ac:dyDescent="0.45">
      <c r="B5" s="75" t="s">
        <v>385</v>
      </c>
      <c r="C5" s="76"/>
      <c r="D5" s="75" t="s">
        <v>386</v>
      </c>
      <c r="E5" s="76"/>
      <c r="F5" s="75" t="s">
        <v>387</v>
      </c>
      <c r="G5" s="76"/>
      <c r="H5" s="75" t="s">
        <v>388</v>
      </c>
      <c r="I5" s="76"/>
      <c r="J5" s="75" t="s">
        <v>389</v>
      </c>
      <c r="K5" s="76"/>
      <c r="Q5" s="69" t="s">
        <v>46</v>
      </c>
      <c r="R5" s="69" t="s">
        <v>361</v>
      </c>
      <c r="U5" s="69" t="s">
        <v>390</v>
      </c>
      <c r="V5" s="69" t="s">
        <v>48</v>
      </c>
    </row>
    <row r="6" spans="2:22" ht="20" customHeight="1" x14ac:dyDescent="0.45">
      <c r="B6" s="79">
        <f>SUM(Dataset!E2:E201)</f>
        <v>195217.75999999992</v>
      </c>
      <c r="C6" s="76"/>
      <c r="D6" s="79">
        <f>SUM(Dataset!I2:I201)</f>
        <v>68287.010000000009</v>
      </c>
      <c r="E6" s="76"/>
      <c r="F6" s="78">
        <f>D6/B6</f>
        <v>0.34979916786259629</v>
      </c>
      <c r="G6" s="76"/>
      <c r="H6" s="77">
        <f>COUNT(Dataset!E2:E201)</f>
        <v>200</v>
      </c>
      <c r="I6" s="76"/>
      <c r="J6" s="78">
        <f>AVERAGE(Dataset!G2:G201)</f>
        <v>9.7250000000000003E-2</v>
      </c>
      <c r="K6" s="76"/>
      <c r="Q6" s="45" t="s">
        <v>85</v>
      </c>
      <c r="R6" s="70">
        <v>43468.33</v>
      </c>
      <c r="U6" s="45" t="s">
        <v>57</v>
      </c>
      <c r="V6" s="70">
        <v>47002.46</v>
      </c>
    </row>
    <row r="7" spans="2:22" ht="20" customHeight="1" x14ac:dyDescent="0.45">
      <c r="B7" s="76"/>
      <c r="C7" s="76"/>
      <c r="D7" s="76"/>
      <c r="E7" s="76"/>
      <c r="F7" s="76"/>
      <c r="G7" s="76"/>
      <c r="H7" s="76"/>
      <c r="I7" s="76"/>
      <c r="J7" s="76"/>
      <c r="K7" s="76"/>
      <c r="Q7" s="45" t="s">
        <v>65</v>
      </c>
      <c r="R7" s="70">
        <v>32441.64</v>
      </c>
      <c r="U7" s="45" t="s">
        <v>61</v>
      </c>
      <c r="V7" s="70">
        <v>41927.589999999997</v>
      </c>
    </row>
    <row r="8" spans="2:22" ht="16" x14ac:dyDescent="0.45">
      <c r="Q8" s="45" t="s">
        <v>72</v>
      </c>
      <c r="R8" s="70">
        <v>34975.42</v>
      </c>
      <c r="U8" s="45" t="s">
        <v>69</v>
      </c>
      <c r="V8" s="70">
        <v>41044</v>
      </c>
    </row>
    <row r="9" spans="2:22" ht="16" x14ac:dyDescent="0.45">
      <c r="Q9" s="45" t="s">
        <v>68</v>
      </c>
      <c r="R9" s="70">
        <v>40248.79</v>
      </c>
      <c r="U9" s="45" t="s">
        <v>76</v>
      </c>
      <c r="V9" s="70">
        <v>36612.89</v>
      </c>
    </row>
    <row r="10" spans="2:22" ht="16" x14ac:dyDescent="0.45">
      <c r="Q10" s="45" t="s">
        <v>56</v>
      </c>
      <c r="R10" s="70">
        <v>44083.58</v>
      </c>
      <c r="U10" s="45" t="s">
        <v>90</v>
      </c>
      <c r="V10" s="70">
        <v>28630.82</v>
      </c>
    </row>
    <row r="12" spans="2:22" ht="16.5" x14ac:dyDescent="0.45">
      <c r="Q12" s="74" t="s">
        <v>391</v>
      </c>
      <c r="R12" s="74"/>
    </row>
    <row r="14" spans="2:22" ht="409.5" customHeight="1" x14ac:dyDescent="0.35">
      <c r="Q14" s="73" t="s">
        <v>392</v>
      </c>
      <c r="R14" s="73"/>
    </row>
  </sheetData>
  <mergeCells count="12">
    <mergeCell ref="Q14:R14"/>
    <mergeCell ref="Q12:R12"/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Task Description</vt:lpstr>
      <vt:lpstr>Dataset</vt:lpstr>
      <vt:lpstr>Task 1 &amp; 7 - Customers</vt:lpstr>
      <vt:lpstr>Task 2 - What-If Analysis</vt:lpstr>
      <vt:lpstr>Task 3 - Regression</vt:lpstr>
      <vt:lpstr>Task 4 - Descriptive Stats</vt:lpstr>
      <vt:lpstr>Task 5 - Monthly Growth</vt:lpstr>
      <vt:lpstr>Task 8 - Region &amp; Product Pivot</vt:lpstr>
      <vt:lpstr>Task 9 &amp; 10 -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PRIYAL PATEL</cp:lastModifiedBy>
  <dcterms:created xsi:type="dcterms:W3CDTF">2026-10-27T12:17:10Z</dcterms:created>
  <dcterms:modified xsi:type="dcterms:W3CDTF">2026-10-28T06:15:13Z</dcterms:modified>
</cp:coreProperties>
</file>